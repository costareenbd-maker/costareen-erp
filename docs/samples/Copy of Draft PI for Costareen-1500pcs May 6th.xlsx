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Business\Polymaker\"/>
    </mc:Choice>
  </mc:AlternateContent>
  <xr:revisionPtr revIDLastSave="0" documentId="8_{E0805411-5CDE-4485-8471-BEE8B3B98189}" xr6:coauthVersionLast="47" xr6:coauthVersionMax="47" xr10:uidLastSave="{00000000-0000-0000-0000-000000000000}"/>
  <bookViews>
    <workbookView xWindow="17700" yWindow="2790" windowWidth="29355" windowHeight="16815" xr2:uid="{00000000-000D-0000-FFFF-FFFF00000000}"/>
  </bookViews>
  <sheets>
    <sheet name="Table 2" sheetId="3" r:id="rId1"/>
    <sheet name="Sheet1" sheetId="2" r:id="rId2"/>
  </sheets>
  <definedNames>
    <definedName name="_xlnm._FilterDatabase" localSheetId="1" hidden="1">Sheet1!$I$1:$I$84</definedName>
    <definedName name="_xlnm.Print_Area" localSheetId="0">'Table 2'!$A$1:$H$73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3" l="1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45" i="3"/>
  <c r="E69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F69" i="3" s="1"/>
  <c r="I87" i="2" l="1"/>
</calcChain>
</file>

<file path=xl/sharedStrings.xml><?xml version="1.0" encoding="utf-8"?>
<sst xmlns="http://schemas.openxmlformats.org/spreadsheetml/2006/main" count="553" uniqueCount="299">
  <si>
    <t>Proforma Invoice</t>
  </si>
  <si>
    <t>P/I INVOICE NO：</t>
  </si>
  <si>
    <t>DATE:</t>
  </si>
  <si>
    <t xml:space="preserve">SHIPPER/EXPORTER(CONTACT INFORMATION) </t>
  </si>
  <si>
    <t>CONSIGNEE(CONTACT INFORMATION)</t>
  </si>
  <si>
    <t>CONTACT PERSON: QU HANG</t>
  </si>
  <si>
    <t>COMPANY NAME: JF Polymers (Suzhou) Co., Ltd</t>
  </si>
  <si>
    <t>ADDRESS: BldgC BldgG,No.15 Dianchang Road,Bixi street,Changshu,Jiangsu Province,China</t>
  </si>
  <si>
    <t>POSTAL CODE: 215513</t>
  </si>
  <si>
    <t>TEL:+86-512-52096516</t>
  </si>
  <si>
    <t>COUNTRY: China</t>
  </si>
  <si>
    <t>SeqNum</t>
  </si>
  <si>
    <t>SKU</t>
  </si>
  <si>
    <t>Product Name</t>
  </si>
  <si>
    <t>Quantity</t>
  </si>
  <si>
    <t>Unit Value (USD)</t>
  </si>
  <si>
    <t>Total Values (USD)</t>
  </si>
  <si>
    <t>Intermediary Bank: Bank of America N.A. New York Branch
SWIFT BIC: BOFAUS3N
Account with Bank: China Construction Bank, Suzhou Branch
SWIFT BIC: PCBCCNBJJSS
Address: No.34 North Haiyu Road Changshu City Jiangsu Province China
Beneficiary Account No.: 32214010200220109606
Beneficiary Name: JF Polymers (Suzhou) Co., Ltd.
Address: No. 7-1, Xinggang East Road, Bixi Street, Changshu City, Jiangsu Province, P.R.China
Tel: +86-512-52096516</t>
  </si>
  <si>
    <t xml:space="preserve">卖家银行账户信息/
Bank Information
</t>
  </si>
  <si>
    <t xml:space="preserve">CONTACT PERSON: </t>
  </si>
  <si>
    <t xml:space="preserve">COMPANY NAME: </t>
  </si>
  <si>
    <t xml:space="preserve">ADDRESS: 
</t>
  </si>
  <si>
    <t>POSTAL CODE:</t>
  </si>
  <si>
    <t>TEL:</t>
  </si>
  <si>
    <t>Panchroma Marble Color Refill 1kg SP</t>
  </si>
  <si>
    <t>polymaker/Panchroma™ PLA/Spool-less/1kg/1.75mm/Marble White</t>
  </si>
  <si>
    <t>Marble White</t>
  </si>
  <si>
    <t>Panchroma™ PLA Marble</t>
  </si>
  <si>
    <t>CA04087</t>
  </si>
  <si>
    <t>Panchroma™ PLA Marble Spool-less</t>
  </si>
  <si>
    <t>Panchroma Matte Color Refill 1kg SP</t>
  </si>
  <si>
    <t xml:space="preserve">polymaker/Panchroma™ PLA/Spool-less/1kg/1.75mm/Matte Sky Blue </t>
  </si>
  <si>
    <t>Matte Sky Blue</t>
  </si>
  <si>
    <t>Panchroma™ PLA Matte</t>
  </si>
  <si>
    <t>PC1002001</t>
  </si>
  <si>
    <t xml:space="preserve">polymaker/Panchroma™ PLA/Spool-less/1kg/1.75mm/Matte Lotus Pink </t>
  </si>
  <si>
    <t>Matte Lotus Pink</t>
  </si>
  <si>
    <t>PC1002002</t>
  </si>
  <si>
    <t xml:space="preserve">polymaker/Panchroma™ PLA/Spool-less/1kg/1.75mm/Matte Army Brown </t>
  </si>
  <si>
    <t>Matte Army Brown</t>
  </si>
  <si>
    <t>PC1002003</t>
  </si>
  <si>
    <t>polymaker/Panchroma™ PLA/Spool-less/1kg/1.75mm/Matte Army Light Green</t>
  </si>
  <si>
    <t>Matte Army Light Green</t>
  </si>
  <si>
    <t>PC1002004</t>
  </si>
  <si>
    <t xml:space="preserve">polymaker/Panchroma™ PLA/Spool-less/1kg/1.75mm/Matte Army Purple </t>
  </si>
  <si>
    <t>Matte Army Purple</t>
  </si>
  <si>
    <t>PC1002005</t>
  </si>
  <si>
    <t xml:space="preserve">polymaker/Panchroma™ PLA/Spool-less/1kg/1.75mm/Matte Ash Grey </t>
  </si>
  <si>
    <t>Matte Ash Grey</t>
  </si>
  <si>
    <t>PC1002006</t>
  </si>
  <si>
    <t xml:space="preserve">polymaker/Panchroma™ PLA/Spool-less/1kg/1.75mm/Matte Electric Indigo </t>
  </si>
  <si>
    <t>Matte Electric Indigo</t>
  </si>
  <si>
    <t>PC1002007</t>
  </si>
  <si>
    <t xml:space="preserve">polymaker/Panchroma™ PLA/Spool-less/1kg/1.75mm/Matte Lime Green </t>
  </si>
  <si>
    <t>Matte Lime Green</t>
  </si>
  <si>
    <t>PC1002008</t>
  </si>
  <si>
    <t>polymaker/Panchroma™ PLA/Spool-less/1kg/1.75mm/Matte Muted Blue</t>
  </si>
  <si>
    <t>Matte Muted Blue</t>
  </si>
  <si>
    <t>PC1002009</t>
  </si>
  <si>
    <t xml:space="preserve">polymaker/Panchroma™ PLA/Spool-less/1kg/1.75mm/Matte Muted Green </t>
  </si>
  <si>
    <t>Matte Muted Green</t>
  </si>
  <si>
    <t>PC1002010</t>
  </si>
  <si>
    <t xml:space="preserve">polymaker/Panchroma™ PLA/Spool-less/1kg/1.75mm/Matte Muted Purple </t>
  </si>
  <si>
    <t>Matte Muted Purple</t>
  </si>
  <si>
    <t>PC1002011</t>
  </si>
  <si>
    <t xml:space="preserve">polymaker/Panchroma™ PLA/Spool-less/1kg/1.75mm/Matte Muted Red </t>
  </si>
  <si>
    <t>Matte Muted Red</t>
  </si>
  <si>
    <t>PC1002012</t>
  </si>
  <si>
    <t xml:space="preserve">polymaker/Panchroma™ PLA/Spool-less/1kg/1.75mm/Matte Muted White </t>
  </si>
  <si>
    <t>Matte Muted White</t>
  </si>
  <si>
    <t>PC1002013</t>
  </si>
  <si>
    <t xml:space="preserve">polymaker/Panchroma™ PLA/Spool-less/1kg/1.75mm/Matte Pastel Banana </t>
  </si>
  <si>
    <t>Matte Pastel Banana</t>
  </si>
  <si>
    <t>PC1002014</t>
  </si>
  <si>
    <t xml:space="preserve">polymaker/Panchroma™ PLA/Spool-less/1kg/1.75mm/Matte Pastel Candy </t>
  </si>
  <si>
    <t>Matte Pastel Candy</t>
  </si>
  <si>
    <t>PC1002015</t>
  </si>
  <si>
    <t xml:space="preserve">polymaker/Panchroma™ PLA/Spool-less/1kg/1.75mm/Matte Pastel Ice </t>
  </si>
  <si>
    <t>Matte Pastel Ice</t>
  </si>
  <si>
    <t>PC1002016</t>
  </si>
  <si>
    <t xml:space="preserve">polymaker/Panchroma™ PLA/Spool-less/1kg/1.75mm/Matte Pastel Mint </t>
  </si>
  <si>
    <t>Matte Pastel Mint</t>
  </si>
  <si>
    <t>PC1002017</t>
  </si>
  <si>
    <t xml:space="preserve">polymaker/Panchroma™ PLA/Spool-less/1kg/1.75mm/Matte Pastel Peach </t>
  </si>
  <si>
    <t>Matte Pastel Peach</t>
  </si>
  <si>
    <t>PC1002018</t>
  </si>
  <si>
    <t xml:space="preserve">polymaker/Panchroma™ PLA/Spool-less/1kg/1.75mm/Matte Pastel Watermelon </t>
  </si>
  <si>
    <t>Matte Pastel Watermelon</t>
  </si>
  <si>
    <t>PC1002019</t>
  </si>
  <si>
    <t xml:space="preserve">polymaker/Panchroma™ PLA/Spool-less/1kg/1.75mm/Matte Pastel Periwinkle </t>
  </si>
  <si>
    <t>Matte Pastel Periwinkle</t>
  </si>
  <si>
    <t>PC1002020</t>
  </si>
  <si>
    <t xml:space="preserve">polymaker/Panchroma™ PLA/Spool-less/1kg/1.75mm/Matte Sunshine Yellow </t>
  </si>
  <si>
    <t>Matte Sunshine Yellow</t>
  </si>
  <si>
    <t>PC1002021</t>
  </si>
  <si>
    <t xml:space="preserve">polymaker/Panchroma™ PLA/Spool-less/1kg/1.75mm/Matte Electric Magenta </t>
  </si>
  <si>
    <t>Matte Electric Magenta</t>
  </si>
  <si>
    <t>PC1002022</t>
  </si>
  <si>
    <t>polymaker/Panchroma™ PLA/Spool-less/1kg/1.75mm/Matte Grass Green</t>
  </si>
  <si>
    <t>Matte Grass Green</t>
  </si>
  <si>
    <t>PC1002023</t>
  </si>
  <si>
    <t xml:space="preserve">polymaker/Panchroma™ PLA/Spool-less/1kg/1.75mm/Matte Seafoam Green </t>
  </si>
  <si>
    <t>Matte Seafoam Green</t>
  </si>
  <si>
    <t>PC1002024</t>
  </si>
  <si>
    <t xml:space="preserve">polymaker/Panchroma™ PLA/Spool-less/1kg/1.75mm/Matte Raspberry Blue </t>
  </si>
  <si>
    <t>Matte Raspberry Blue</t>
  </si>
  <si>
    <t>PC1002025</t>
  </si>
  <si>
    <t>polymaker/Panchroma™ PLA/Spool-less/1kg/1.75mm/Matte Wine Burgundy</t>
  </si>
  <si>
    <t>Matte Wine Burgundy</t>
  </si>
  <si>
    <t>PC1002026</t>
  </si>
  <si>
    <t xml:space="preserve">polymaker/Panchroma™ PLA/Spool-less/1kg/1.75mm/Matte Emerald Green </t>
  </si>
  <si>
    <t>Matte Emerald Green</t>
  </si>
  <si>
    <t>PC1002027</t>
  </si>
  <si>
    <t xml:space="preserve">polymaker/Panchroma™ PLA/Spool-less/1kg/1.75mm/Matte Muted Moss </t>
  </si>
  <si>
    <t>Matte Muted Moss</t>
  </si>
  <si>
    <t>PC1002028</t>
  </si>
  <si>
    <t>polymaker/Panchroma™ PLA/Spool-less/1kg/1.75mm/Matte Muted Teal</t>
  </si>
  <si>
    <t>Matte Muted Teal</t>
  </si>
  <si>
    <t>PC1002029</t>
  </si>
  <si>
    <t>polymaker/Panchroma™ PLA/Spool-less/1kg/1.75mm/Matte Muted Mauve</t>
  </si>
  <si>
    <t>Matte Muted Mauve</t>
  </si>
  <si>
    <t>PC1002030</t>
  </si>
  <si>
    <t>polymaker/Panchroma™ PLA/Spool-less/1kg/1.75mm/Matte Muted Terracotta</t>
  </si>
  <si>
    <t>Matte Muted Terracotta</t>
  </si>
  <si>
    <t>PC1002031</t>
  </si>
  <si>
    <t>polymaker/Panchroma™ PLA/Spool-less/1kg/1.75mm/Matte Pastel Coral</t>
  </si>
  <si>
    <t>Matte Pastel Coral</t>
  </si>
  <si>
    <t>PC1002032</t>
  </si>
  <si>
    <t>polymaker/Panchroma™ PLA/Spool-less/1kg/1.75mm/Matte Pastel Beige</t>
  </si>
  <si>
    <t>Matte Pastel Beige</t>
  </si>
  <si>
    <t>PC1002033</t>
  </si>
  <si>
    <t>Panchroma Gradient Matte Color Refill 1kg SP</t>
  </si>
  <si>
    <t>polymaker/Panchroma™ PLA/Spool-less/1kg/1.75mm/Gradient Matte Pastel Rainbow</t>
  </si>
  <si>
    <t>Gradient Matte Pastel Rainbow</t>
  </si>
  <si>
    <t>CA04086</t>
  </si>
  <si>
    <t>polymaker/Panchroma™ PLA/Spool-less/1kg/1.75mm/Matte Lavender Purple</t>
  </si>
  <si>
    <t>Matte Lavender Purple</t>
  </si>
  <si>
    <t>CA04085</t>
  </si>
  <si>
    <t xml:space="preserve">polymaker/Panchroma™ PLA/Spool-less/1kg/1.75mm/Matte Army Beige </t>
  </si>
  <si>
    <t>Matte Army Beige</t>
  </si>
  <si>
    <t>CA04084</t>
  </si>
  <si>
    <t>polymaker/Panchroma™ PLA/Spool-less/1kg/1.75mm/Matte Army Red</t>
  </si>
  <si>
    <t>Matte Army Red</t>
  </si>
  <si>
    <t>CA04083</t>
  </si>
  <si>
    <t>polymaker/Panchroma™ PLA/Spool-less/1kg/1.75mm/Matte Army Blue</t>
  </si>
  <si>
    <t>Matte Army Blue</t>
  </si>
  <si>
    <t>CA04082</t>
  </si>
  <si>
    <t>polymaker/Panchroma™ PLA/Spool-less/1kg/1.75mm/Matte Sakura Pink</t>
  </si>
  <si>
    <t>Matte Sakura Pink</t>
  </si>
  <si>
    <t>CA04081</t>
  </si>
  <si>
    <t>polymaker/Panchroma™ PLA/Spool-less/1kg/1.75mm/Matte Sunrise Orange</t>
  </si>
  <si>
    <t>Matte Sunrise Orange</t>
  </si>
  <si>
    <t>CA04080</t>
  </si>
  <si>
    <t>polymaker/Panchroma™ PLA/Spool-less/1kg/1.75mm/Matte Arctic Teal</t>
  </si>
  <si>
    <t>Matte Arctic Teal</t>
  </si>
  <si>
    <t>CA04079</t>
  </si>
  <si>
    <t>polymaker/Panchroma™ PLA/Spool-less/1kg/1.75mm/Matte Forest Green</t>
  </si>
  <si>
    <t>Matte Forest Green</t>
  </si>
  <si>
    <t>CA04078</t>
  </si>
  <si>
    <t>polymaker/Panchroma™ PLA/Spool-less/1kg/1.75mm/Matte Wood Brown</t>
  </si>
  <si>
    <t>Matte Wood Brown</t>
  </si>
  <si>
    <t>CA04077</t>
  </si>
  <si>
    <t>polymaker/Panchroma™ PLA/Spool-less/1kg/1.75mm/Matte Pastel Peanut</t>
  </si>
  <si>
    <t>Matte Pastel Peanut</t>
  </si>
  <si>
    <t>CA04076</t>
  </si>
  <si>
    <t>polymaker/Panchroma™ PLA/Spool-less/1kg/1.75mm/Matte Savannah Yellow</t>
  </si>
  <si>
    <t>Matte Savannah Yellow</t>
  </si>
  <si>
    <t>CA04075</t>
  </si>
  <si>
    <t>polymaker/Panchroma™ PLA/Spool-less/1kg/1.75mm/Matte Earth Brown</t>
  </si>
  <si>
    <t>Matte Earth Brown</t>
  </si>
  <si>
    <t>CA04074</t>
  </si>
  <si>
    <t>polymaker/Panchroma™ PLA/Spool-less/1kg/1.75mm/Matte Lava Red</t>
  </si>
  <si>
    <t>Matte Lava Red</t>
  </si>
  <si>
    <t>CA04073</t>
  </si>
  <si>
    <t xml:space="preserve">polymaker/Panchroma™ PLA/Spool-less/1kg/1.75mm/Matte Sapphire Blue </t>
  </si>
  <si>
    <t>Matte Sapphire Blue</t>
  </si>
  <si>
    <t>CA04072</t>
  </si>
  <si>
    <t>polymaker/Panchroma™ PLA/Spool-less/1kg/1.75mm/Matte Army Dark Green</t>
  </si>
  <si>
    <t>Matte Army Dark Green</t>
  </si>
  <si>
    <t>CA04071</t>
  </si>
  <si>
    <t>polymaker/Panchroma™ PLA/Spool-less/1kg/1.75mm/Matte Fossil Grey</t>
  </si>
  <si>
    <t>Matte Fossil Grey</t>
  </si>
  <si>
    <t>CA04070</t>
  </si>
  <si>
    <t>polymaker/Panchroma™ PLA/Spool-less/1kg/1.75mm/Matte Cotton White</t>
  </si>
  <si>
    <t>Matte Cotton White</t>
  </si>
  <si>
    <t>CA04069</t>
  </si>
  <si>
    <t>polymaker/Panchroma™ PLA/Spool-less/1kg/1.75mm/Matte Charcoal Black</t>
  </si>
  <si>
    <t>Matte Charcoal Black</t>
  </si>
  <si>
    <t>CA04068</t>
  </si>
  <si>
    <t>Panchroma™ PLA Matte Spool-less</t>
  </si>
  <si>
    <t>Panchroma Marble Color 1kg SP</t>
  </si>
  <si>
    <t>polymaker/Panchroma™ PLA/Spool/1kg/1.75mm/Marble Limestone</t>
  </si>
  <si>
    <t>Marble Limestone</t>
  </si>
  <si>
    <t>CA04060</t>
  </si>
  <si>
    <t>Panchroma Basic Color Refill 1kg SP</t>
  </si>
  <si>
    <t>polymaker/Panchroma™ PLA/Spool-less/1kg/1.75mm/Pink</t>
  </si>
  <si>
    <t>Pink</t>
  </si>
  <si>
    <t>Panchroma™ PLA</t>
  </si>
  <si>
    <t>PC1001022</t>
  </si>
  <si>
    <t xml:space="preserve">polymaker/Panchroma™ PLA/Spool-less/1kg/1.75mm/Purple </t>
  </si>
  <si>
    <t>Purple</t>
  </si>
  <si>
    <t>PC1001023</t>
  </si>
  <si>
    <t>polymaker/Panchroma™ PLA/Spool-less/1kg/1.75mm/Wine Red</t>
  </si>
  <si>
    <t>Wine Red</t>
  </si>
  <si>
    <t>PC1001024</t>
  </si>
  <si>
    <t xml:space="preserve">polymaker/Panchroma™ PLA/Spool-less/1kg/1.75mm/Jungle Green </t>
  </si>
  <si>
    <t>Jungle Green</t>
  </si>
  <si>
    <t>PC1001025</t>
  </si>
  <si>
    <t xml:space="preserve">polymaker/Panchroma™ PLA/Spool-less/1kg/1.75mm/Olive Green </t>
  </si>
  <si>
    <t>Olive Green</t>
  </si>
  <si>
    <t>PC1001026</t>
  </si>
  <si>
    <t xml:space="preserve">polymaker/Panchroma™ PLA/Spool-less/1kg/1.75mm/Beige </t>
  </si>
  <si>
    <t>Beige</t>
  </si>
  <si>
    <t>PC1001027</t>
  </si>
  <si>
    <t>polymaker/Panchroma™ PLA/Spool-less/1kg/1.75mm/Aqua Blue</t>
  </si>
  <si>
    <t>Aqua Blue</t>
  </si>
  <si>
    <t>PC1001028</t>
  </si>
  <si>
    <t>polymaker/Panchroma™ PLA/Spool-less/1kg/1.75mm/Stone Blue</t>
  </si>
  <si>
    <t>Stone Blue</t>
  </si>
  <si>
    <t>PC1001029</t>
  </si>
  <si>
    <t>polymaker/Panchroma™ PLA/Spool-less/1kg/1.75mm/Lemon Yellow</t>
  </si>
  <si>
    <t>Lemon Yellow</t>
  </si>
  <si>
    <t>PC1001030</t>
  </si>
  <si>
    <t>polymaker/Panchroma™ PLA/Spool-less/1kg/1.75mm/Cream</t>
  </si>
  <si>
    <t>Cream</t>
  </si>
  <si>
    <t>PC1001031</t>
  </si>
  <si>
    <t>polymaker/Panchroma™ PLA/Spool-less/1kg/1.75mm/Lime Green</t>
  </si>
  <si>
    <t>Lime Green</t>
  </si>
  <si>
    <t>PC1001032</t>
  </si>
  <si>
    <t>polymaker/Panchroma™ PLA/Spool-less/1kg/1.75mm/Magenta</t>
  </si>
  <si>
    <t>Magenta</t>
  </si>
  <si>
    <t>PC1001033</t>
  </si>
  <si>
    <t>polymaker/Panchroma™ PLA/Spool-less/1kg/1.75mm/Azure Blue</t>
  </si>
  <si>
    <t>Azure Blue</t>
  </si>
  <si>
    <t>PC1001034</t>
  </si>
  <si>
    <t xml:space="preserve">polymaker/Panchroma™ PLA/Spool-less/1kg/1.75mm/Tan </t>
  </si>
  <si>
    <t>Tan</t>
  </si>
  <si>
    <t>PC1001035</t>
  </si>
  <si>
    <t>polymaker/Panchroma™ PLA/Spool-less/1kg/1.75mm/Dark Olive Drab</t>
  </si>
  <si>
    <t>Dark Olive Drab</t>
  </si>
  <si>
    <t>PC1001036</t>
  </si>
  <si>
    <t xml:space="preserve">polymaker/Panchroma™ PLA/Spool-less/1kg/1.75mm/Dark Grey </t>
  </si>
  <si>
    <t>Dark Grey</t>
  </si>
  <si>
    <t>PC1001037</t>
  </si>
  <si>
    <t>polymaker/Panchroma™ PLA/Spool-less/1kg/1.75mm/Cold White</t>
  </si>
  <si>
    <t>Cold White</t>
  </si>
  <si>
    <t>CA19040</t>
  </si>
  <si>
    <t xml:space="preserve">polymaker/Panchroma™ PLA/Spool-less/1kg/1.75mm/Polymaker Teal </t>
  </si>
  <si>
    <t>Polymaker Tea</t>
  </si>
  <si>
    <t>CA19039</t>
  </si>
  <si>
    <t>polymaker/Panchroma™ PLA/Spool-less/1kg/1.75mm/Brown</t>
  </si>
  <si>
    <t>Brown</t>
  </si>
  <si>
    <t>CA19038</t>
  </si>
  <si>
    <t xml:space="preserve">polymaker/Panchroma™ PLA/Spool-less/1kg/1.75mm/Steel Grey </t>
  </si>
  <si>
    <t>Steel Grey</t>
  </si>
  <si>
    <t>CA19037</t>
  </si>
  <si>
    <t>polymaker/Panchroma™ PLA/Spool-less/1kg/1.75mm/Yellow</t>
  </si>
  <si>
    <t>Yellow</t>
  </si>
  <si>
    <t>CA19036</t>
  </si>
  <si>
    <t>polymaker/Panchroma™ PLA/Spool-less/1kg/1.75mm/Orange</t>
  </si>
  <si>
    <t>Orange</t>
  </si>
  <si>
    <t>CA19035</t>
  </si>
  <si>
    <t>polymaker/Panchroma™ PLA/Spool-less/1kg/1.75mm/Green</t>
  </si>
  <si>
    <t>Green</t>
  </si>
  <si>
    <t>CA19034</t>
  </si>
  <si>
    <t xml:space="preserve">polymaker/Panchroma™ PLA/Spool-less/1kg/1.75mm/Blue </t>
  </si>
  <si>
    <t>Blue</t>
  </si>
  <si>
    <t>CA19033</t>
  </si>
  <si>
    <t>polymaker/Panchroma™ PLA/Spool-less/1kg/1.75mm/Red</t>
  </si>
  <si>
    <t>Red</t>
  </si>
  <si>
    <t>CA19032</t>
  </si>
  <si>
    <t>polymaker/Panchroma™ PLA/Spool-less/1kg/1.75mm/Grey</t>
  </si>
  <si>
    <t>Grey</t>
  </si>
  <si>
    <t>CA19031</t>
  </si>
  <si>
    <t>polymaker/Panchroma™ PLA/Spool-less/1kg/1.75mm/White</t>
  </si>
  <si>
    <t>White</t>
  </si>
  <si>
    <t>CA19030</t>
  </si>
  <si>
    <t xml:space="preserve">polymaker/Panchroma™ PLA/Spool-less/1kg/1.75mm/Black </t>
  </si>
  <si>
    <t>Black</t>
  </si>
  <si>
    <t>CA19029</t>
  </si>
  <si>
    <t>CA03039</t>
  </si>
  <si>
    <t>CA03040</t>
  </si>
  <si>
    <t>CA03041</t>
  </si>
  <si>
    <t>polymaker/Panchroma™ PLA/Spool-less/1kg/1.75mm/Silk Gold</t>
  </si>
  <si>
    <t>polymaker/Panchroma™ PLA/Spool-less/1kg/1.75mm/Silk Silver</t>
  </si>
  <si>
    <t>polymaker/Panchroma™ PLA/Spool-less/1kg/1.75mm/Silk Bronze</t>
  </si>
  <si>
    <t>CA02048</t>
  </si>
  <si>
    <t>polymaker/Panchroma™ PLA/Spool-less/1kg/1.75mm/Starlight Neptune</t>
  </si>
  <si>
    <t>CA03006</t>
  </si>
  <si>
    <t>CA19016</t>
  </si>
  <si>
    <t>CA02001</t>
  </si>
  <si>
    <t>CA04038</t>
  </si>
  <si>
    <t>polymaker/Panchroma™ PLA/Spool/1kg/1.75mm/Silk Gold</t>
  </si>
  <si>
    <t>polymaker/Panchroma™ PLA/1kg/1.75mm/Aqua Blue</t>
  </si>
  <si>
    <t>polymaker/Panchroma™/1kg/1.75mm/Translucent Cyan</t>
  </si>
  <si>
    <t>PolyTerra (1.75mm, 1000g) Sapphire Blue</t>
  </si>
  <si>
    <t>06/05/2026</t>
  </si>
  <si>
    <t>COUNTRY:  Bangladesh</t>
  </si>
  <si>
    <r>
      <t>TOTAL Amount (</t>
    </r>
    <r>
      <rPr>
        <b/>
        <sz val="10"/>
        <color rgb="FFC00000"/>
        <rFont val="Times New Roman"/>
        <family val="1"/>
      </rPr>
      <t>EXW Factory</t>
    </r>
    <r>
      <rPr>
        <sz val="10"/>
        <rFont val="Times New Roman"/>
        <family val="1"/>
      </rPr>
      <t>):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</si>
</sst>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$-45C]#,##0.00"/>
  </numFmts>
  <fonts count="13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0"/>
      <name val="SimSun"/>
    </font>
    <font>
      <sz val="10"/>
      <color rgb="FF000000"/>
      <name val="SimSun"/>
      <family val="2"/>
    </font>
    <font>
      <b/>
      <sz val="12"/>
      <color rgb="FF000000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16"/>
      <color rgb="FF000000"/>
      <name val="Calibri"/>
      <family val="3"/>
      <charset val="134"/>
    </font>
    <font>
      <sz val="16"/>
      <color rgb="FF000000"/>
      <name val="Calibri"/>
      <family val="2"/>
    </font>
    <font>
      <b/>
      <sz val="16"/>
      <color rgb="FF000000"/>
      <name val="HarmonyOS Sans SC"/>
      <family val="3"/>
      <charset val="134"/>
    </font>
    <font>
      <sz val="16"/>
      <color rgb="FFFF0000"/>
      <name val="Calibri"/>
      <family val="3"/>
      <charset val="134"/>
    </font>
    <font>
      <sz val="16"/>
      <name val="Calibri"/>
      <family val="3"/>
      <charset val="134"/>
    </font>
    <font>
      <b/>
      <sz val="10"/>
      <color rgb="FFC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7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horizontal="right" vertical="center" shrinkToFi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6" fillId="0" borderId="16" xfId="0" applyNumberFormat="1" applyFont="1" applyBorder="1" applyAlignment="1">
      <alignment horizontal="left" vertical="top" shrinkToFit="1"/>
    </xf>
    <xf numFmtId="0" fontId="5" fillId="0" borderId="6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 shrinkToFit="1"/>
    </xf>
    <xf numFmtId="0" fontId="5" fillId="0" borderId="19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right" vertical="top" wrapText="1"/>
    </xf>
    <xf numFmtId="0" fontId="1" fillId="0" borderId="0" xfId="1"/>
    <xf numFmtId="0" fontId="7" fillId="0" borderId="0" xfId="1" applyFont="1" applyAlignment="1">
      <alignment wrapText="1"/>
    </xf>
    <xf numFmtId="0" fontId="7" fillId="0" borderId="22" xfId="1" applyFont="1" applyBorder="1" applyAlignment="1">
      <alignment wrapText="1"/>
    </xf>
    <xf numFmtId="0" fontId="8" fillId="0" borderId="19" xfId="1" applyFont="1" applyBorder="1" applyAlignment="1">
      <alignment wrapText="1"/>
    </xf>
    <xf numFmtId="0" fontId="7" fillId="0" borderId="19" xfId="1" applyFont="1" applyBorder="1" applyAlignment="1">
      <alignment wrapText="1"/>
    </xf>
    <xf numFmtId="0" fontId="7" fillId="0" borderId="23" xfId="1" applyFont="1" applyBorder="1" applyAlignment="1">
      <alignment wrapText="1"/>
    </xf>
    <xf numFmtId="0" fontId="10" fillId="0" borderId="22" xfId="1" applyFont="1" applyBorder="1" applyAlignment="1">
      <alignment wrapText="1"/>
    </xf>
    <xf numFmtId="0" fontId="10" fillId="0" borderId="19" xfId="1" applyFont="1" applyBorder="1" applyAlignment="1">
      <alignment wrapText="1"/>
    </xf>
    <xf numFmtId="0" fontId="10" fillId="0" borderId="23" xfId="1" applyFont="1" applyBorder="1" applyAlignment="1">
      <alignment wrapText="1"/>
    </xf>
    <xf numFmtId="0" fontId="8" fillId="0" borderId="22" xfId="1" applyFont="1" applyBorder="1" applyAlignment="1">
      <alignment wrapText="1"/>
    </xf>
    <xf numFmtId="0" fontId="11" fillId="0" borderId="22" xfId="1" applyFont="1" applyBorder="1" applyAlignment="1">
      <alignment wrapText="1"/>
    </xf>
    <xf numFmtId="0" fontId="11" fillId="0" borderId="19" xfId="1" applyFont="1" applyBorder="1" applyAlignment="1">
      <alignment wrapText="1"/>
    </xf>
    <xf numFmtId="0" fontId="8" fillId="0" borderId="23" xfId="1" applyFont="1" applyBorder="1" applyAlignment="1">
      <alignment wrapText="1"/>
    </xf>
    <xf numFmtId="0" fontId="7" fillId="0" borderId="26" xfId="1" applyFont="1" applyBorder="1" applyAlignment="1">
      <alignment wrapText="1"/>
    </xf>
    <xf numFmtId="0" fontId="11" fillId="0" borderId="0" xfId="1" applyFont="1" applyAlignment="1">
      <alignment wrapText="1"/>
    </xf>
    <xf numFmtId="0" fontId="11" fillId="0" borderId="26" xfId="1" applyFont="1" applyBorder="1" applyAlignment="1">
      <alignment wrapText="1"/>
    </xf>
    <xf numFmtId="0" fontId="8" fillId="0" borderId="26" xfId="1" applyFont="1" applyBorder="1" applyAlignment="1">
      <alignment wrapText="1"/>
    </xf>
    <xf numFmtId="0" fontId="10" fillId="0" borderId="26" xfId="1" applyFont="1" applyBorder="1" applyAlignment="1">
      <alignment wrapText="1"/>
    </xf>
    <xf numFmtId="0" fontId="5" fillId="0" borderId="17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 shrinkToFit="1"/>
    </xf>
    <xf numFmtId="3" fontId="6" fillId="0" borderId="1" xfId="0" applyNumberFormat="1" applyFont="1" applyBorder="1" applyAlignment="1">
      <alignment horizontal="center" vertical="center" shrinkToFit="1"/>
    </xf>
    <xf numFmtId="3" fontId="3" fillId="0" borderId="0" xfId="0" applyNumberFormat="1" applyFont="1" applyAlignment="1">
      <alignment horizontal="center" vertical="center" shrinkToFit="1"/>
    </xf>
    <xf numFmtId="3" fontId="6" fillId="0" borderId="4" xfId="0" applyNumberFormat="1" applyFont="1" applyBorder="1" applyAlignment="1">
      <alignment horizontal="center" vertical="center" shrinkToFit="1"/>
    </xf>
    <xf numFmtId="0" fontId="5" fillId="2" borderId="19" xfId="0" applyFont="1" applyFill="1" applyBorder="1" applyAlignment="1">
      <alignment horizontal="left" vertical="center" wrapText="1"/>
    </xf>
    <xf numFmtId="0" fontId="6" fillId="2" borderId="19" xfId="0" applyFont="1" applyFill="1" applyBorder="1" applyAlignment="1">
      <alignment horizontal="left" vertical="top" wrapText="1"/>
    </xf>
    <xf numFmtId="1" fontId="6" fillId="2" borderId="4" xfId="0" applyNumberFormat="1" applyFont="1" applyFill="1" applyBorder="1" applyAlignment="1">
      <alignment horizontal="center" vertical="center" shrinkToFit="1"/>
    </xf>
    <xf numFmtId="165" fontId="6" fillId="0" borderId="1" xfId="0" applyNumberFormat="1" applyFont="1" applyBorder="1" applyAlignment="1">
      <alignment horizontal="right" vertical="center" shrinkToFit="1"/>
    </xf>
    <xf numFmtId="0" fontId="5" fillId="0" borderId="9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20" xfId="0" applyBorder="1" applyAlignment="1">
      <alignment horizontal="left" wrapText="1"/>
    </xf>
    <xf numFmtId="0" fontId="0" fillId="0" borderId="21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5" fillId="0" borderId="19" xfId="0" applyFont="1" applyBorder="1" applyAlignment="1">
      <alignment horizontal="left" vertical="top" wrapText="1"/>
    </xf>
    <xf numFmtId="165" fontId="6" fillId="0" borderId="2" xfId="0" applyNumberFormat="1" applyFont="1" applyBorder="1" applyAlignment="1">
      <alignment horizontal="right" vertical="center" shrinkToFit="1"/>
    </xf>
    <xf numFmtId="165" fontId="6" fillId="0" borderId="4" xfId="0" applyNumberFormat="1" applyFont="1" applyBorder="1" applyAlignment="1">
      <alignment horizontal="right" vertical="center" shrinkToFit="1"/>
    </xf>
    <xf numFmtId="0" fontId="5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7" xfId="0" applyFont="1" applyBorder="1" applyAlignment="1">
      <alignment horizontal="right" vertical="center" wrapText="1"/>
    </xf>
    <xf numFmtId="0" fontId="5" fillId="0" borderId="8" xfId="0" applyFont="1" applyBorder="1" applyAlignment="1">
      <alignment horizontal="right" vertical="center" wrapText="1"/>
    </xf>
    <xf numFmtId="4" fontId="6" fillId="0" borderId="2" xfId="0" applyNumberFormat="1" applyFont="1" applyBorder="1" applyAlignment="1">
      <alignment horizontal="right" vertical="center" shrinkToFit="1"/>
    </xf>
    <xf numFmtId="4" fontId="6" fillId="0" borderId="3" xfId="0" applyNumberFormat="1" applyFont="1" applyBorder="1" applyAlignment="1">
      <alignment horizontal="right" vertical="center" shrinkToFit="1"/>
    </xf>
    <xf numFmtId="4" fontId="6" fillId="0" borderId="4" xfId="0" applyNumberFormat="1" applyFont="1" applyBorder="1" applyAlignment="1">
      <alignment horizontal="right" vertical="center" shrinkToFit="1"/>
    </xf>
    <xf numFmtId="0" fontId="6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 indent="2"/>
    </xf>
    <xf numFmtId="164" fontId="3" fillId="0" borderId="0" xfId="0" applyNumberFormat="1" applyFont="1" applyAlignment="1">
      <alignment horizontal="right" vertical="top" indent="5" shrinkToFit="1"/>
    </xf>
    <xf numFmtId="0" fontId="9" fillId="0" borderId="25" xfId="1" applyFont="1" applyBorder="1" applyAlignment="1">
      <alignment wrapText="1"/>
    </xf>
    <xf numFmtId="0" fontId="9" fillId="0" borderId="24" xfId="1" applyFont="1" applyBorder="1" applyAlignment="1">
      <alignment wrapText="1"/>
    </xf>
  </cellXfs>
  <cellStyles count="3">
    <cellStyle name="Normal" xfId="0" builtinId="0"/>
    <cellStyle name="Normal 3" xfId="2" xr:uid="{041BB6BB-56C6-4E55-9170-2E1A01A2A82B}"/>
    <cellStyle name="常规 2" xfId="1" xr:uid="{679E0E7E-2995-4CD1-A1CF-922A399BECF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tel:8610503904" TargetMode="External"/><Relationship Id="rId1" Type="http://schemas.openxmlformats.org/officeDocument/2006/relationships/hyperlink" Target="tel:+86-512-520965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C3EA-8FFF-4844-AE25-A3CB8ECEE8AC}">
  <dimension ref="A1:I74"/>
  <sheetViews>
    <sheetView tabSelected="1" view="pageBreakPreview" topLeftCell="A51" zoomScaleNormal="100" zoomScaleSheetLayoutView="100" workbookViewId="0">
      <selection activeCell="O72" sqref="O72"/>
    </sheetView>
  </sheetViews>
  <sheetFormatPr defaultRowHeight="12.75"/>
  <cols>
    <col min="1" max="1" width="3.33203125" customWidth="1"/>
    <col min="2" max="2" width="9.33203125" customWidth="1"/>
    <col min="3" max="3" width="17.5" customWidth="1"/>
    <col min="4" max="4" width="37" customWidth="1"/>
    <col min="5" max="5" width="14" style="7" customWidth="1"/>
    <col min="6" max="6" width="22" customWidth="1"/>
    <col min="7" max="7" width="18.6640625" customWidth="1"/>
    <col min="8" max="8" width="17.33203125" customWidth="1"/>
    <col min="9" max="9" width="3.33203125" customWidth="1"/>
  </cols>
  <sheetData>
    <row r="1" spans="1:9" ht="53.65" customHeight="1">
      <c r="A1" s="1"/>
      <c r="B1" s="48" t="s">
        <v>0</v>
      </c>
      <c r="C1" s="49"/>
      <c r="D1" s="49"/>
      <c r="E1" s="49"/>
      <c r="F1" s="49"/>
      <c r="G1" s="49"/>
      <c r="H1" s="50"/>
      <c r="I1" s="1"/>
    </row>
    <row r="2" spans="1:9" ht="18" customHeight="1">
      <c r="A2" s="2"/>
      <c r="B2" s="51"/>
      <c r="C2" s="52"/>
      <c r="D2" s="53"/>
      <c r="E2" s="53"/>
      <c r="F2" s="53"/>
      <c r="G2" s="53"/>
      <c r="H2" s="54"/>
      <c r="I2" s="2"/>
    </row>
    <row r="3" spans="1:9" ht="17.100000000000001" customHeight="1">
      <c r="A3" s="2"/>
      <c r="B3" s="55" t="s">
        <v>1</v>
      </c>
      <c r="C3" s="55"/>
      <c r="D3" s="16"/>
      <c r="E3" s="36"/>
      <c r="F3" s="16"/>
      <c r="G3" s="17" t="s">
        <v>2</v>
      </c>
      <c r="H3" s="8" t="s">
        <v>296</v>
      </c>
      <c r="I3" s="2"/>
    </row>
    <row r="4" spans="1:9" ht="19.149999999999999" customHeight="1">
      <c r="A4" s="2"/>
      <c r="B4" s="45" t="s">
        <v>3</v>
      </c>
      <c r="C4" s="46"/>
      <c r="D4" s="46"/>
      <c r="E4" s="46"/>
      <c r="F4" s="46" t="s">
        <v>4</v>
      </c>
      <c r="G4" s="46"/>
      <c r="H4" s="47"/>
      <c r="I4" s="2"/>
    </row>
    <row r="5" spans="1:9" ht="19.149999999999999" customHeight="1">
      <c r="A5" s="2"/>
      <c r="B5" s="45" t="s">
        <v>5</v>
      </c>
      <c r="C5" s="46"/>
      <c r="D5" s="46"/>
      <c r="E5" s="46"/>
      <c r="F5" s="46" t="s">
        <v>19</v>
      </c>
      <c r="G5" s="46"/>
      <c r="H5" s="47"/>
      <c r="I5" s="2"/>
    </row>
    <row r="6" spans="1:9" ht="27.6" customHeight="1">
      <c r="A6" s="2"/>
      <c r="B6" s="45" t="s">
        <v>6</v>
      </c>
      <c r="C6" s="46"/>
      <c r="D6" s="46"/>
      <c r="E6" s="46"/>
      <c r="F6" s="46" t="s">
        <v>20</v>
      </c>
      <c r="G6" s="46"/>
      <c r="H6" s="47"/>
      <c r="I6" s="2"/>
    </row>
    <row r="7" spans="1:9" ht="43.5" customHeight="1">
      <c r="A7" s="2"/>
      <c r="B7" s="45" t="s">
        <v>7</v>
      </c>
      <c r="C7" s="46"/>
      <c r="D7" s="46"/>
      <c r="E7" s="46"/>
      <c r="F7" s="58" t="s">
        <v>21</v>
      </c>
      <c r="G7" s="58"/>
      <c r="H7" s="59"/>
      <c r="I7" s="2"/>
    </row>
    <row r="8" spans="1:9" ht="19.149999999999999" customHeight="1">
      <c r="A8" s="2"/>
      <c r="B8" s="45" t="s">
        <v>8</v>
      </c>
      <c r="C8" s="46"/>
      <c r="D8" s="46"/>
      <c r="E8" s="46"/>
      <c r="F8" s="46" t="s">
        <v>22</v>
      </c>
      <c r="G8" s="46"/>
      <c r="H8" s="47"/>
      <c r="I8" s="2"/>
    </row>
    <row r="9" spans="1:9" ht="19.149999999999999" customHeight="1">
      <c r="A9" s="2"/>
      <c r="B9" s="45" t="s">
        <v>9</v>
      </c>
      <c r="C9" s="46"/>
      <c r="D9" s="46"/>
      <c r="E9" s="46"/>
      <c r="F9" s="46" t="s">
        <v>23</v>
      </c>
      <c r="G9" s="46"/>
      <c r="H9" s="47"/>
      <c r="I9" s="2"/>
    </row>
    <row r="10" spans="1:9" ht="19.149999999999999" customHeight="1">
      <c r="A10" s="2"/>
      <c r="B10" s="60" t="s">
        <v>10</v>
      </c>
      <c r="C10" s="61"/>
      <c r="D10" s="61"/>
      <c r="E10" s="61"/>
      <c r="F10" s="61" t="s">
        <v>297</v>
      </c>
      <c r="G10" s="61"/>
      <c r="H10" s="62"/>
      <c r="I10" s="2"/>
    </row>
    <row r="11" spans="1:9" s="7" customFormat="1" ht="18" customHeight="1">
      <c r="A11" s="6"/>
      <c r="B11" s="9" t="s">
        <v>11</v>
      </c>
      <c r="C11" s="10" t="s">
        <v>12</v>
      </c>
      <c r="D11" s="10" t="s">
        <v>13</v>
      </c>
      <c r="E11" s="11" t="s">
        <v>14</v>
      </c>
      <c r="F11" s="12" t="s">
        <v>15</v>
      </c>
      <c r="G11" s="63" t="s">
        <v>16</v>
      </c>
      <c r="H11" s="64"/>
      <c r="I11" s="6"/>
    </row>
    <row r="12" spans="1:9" ht="36" customHeight="1">
      <c r="A12" s="3"/>
      <c r="B12" s="13">
        <v>1</v>
      </c>
      <c r="C12" s="14" t="s">
        <v>279</v>
      </c>
      <c r="D12" s="15" t="s">
        <v>277</v>
      </c>
      <c r="E12" s="37">
        <v>350</v>
      </c>
      <c r="F12" s="44">
        <v>5.5</v>
      </c>
      <c r="G12" s="56">
        <f>F12*E12</f>
        <v>1925</v>
      </c>
      <c r="H12" s="57"/>
      <c r="I12" s="3"/>
    </row>
    <row r="13" spans="1:9" ht="37.15" customHeight="1">
      <c r="A13" s="3"/>
      <c r="B13" s="13">
        <v>2</v>
      </c>
      <c r="C13" s="14" t="s">
        <v>276</v>
      </c>
      <c r="D13" s="15" t="s">
        <v>274</v>
      </c>
      <c r="E13" s="37">
        <v>500</v>
      </c>
      <c r="F13" s="44">
        <v>5.5</v>
      </c>
      <c r="G13" s="56">
        <f>F13*E13</f>
        <v>2750</v>
      </c>
      <c r="H13" s="57"/>
      <c r="I13" s="3"/>
    </row>
    <row r="14" spans="1:9" ht="36" customHeight="1">
      <c r="A14" s="3"/>
      <c r="B14" s="13">
        <v>3</v>
      </c>
      <c r="C14" s="14" t="s">
        <v>273</v>
      </c>
      <c r="D14" s="15" t="s">
        <v>271</v>
      </c>
      <c r="E14" s="37">
        <v>50</v>
      </c>
      <c r="F14" s="44">
        <v>5.5</v>
      </c>
      <c r="G14" s="56">
        <f>F14*E14</f>
        <v>275</v>
      </c>
      <c r="H14" s="57"/>
      <c r="I14" s="3"/>
    </row>
    <row r="15" spans="1:9" ht="37.15" customHeight="1">
      <c r="A15" s="3"/>
      <c r="B15" s="13">
        <v>4</v>
      </c>
      <c r="C15" s="14" t="s">
        <v>270</v>
      </c>
      <c r="D15" s="15" t="s">
        <v>268</v>
      </c>
      <c r="E15" s="37">
        <v>20</v>
      </c>
      <c r="F15" s="44">
        <v>5.5</v>
      </c>
      <c r="G15" s="56">
        <f t="shared" ref="G15:G44" si="0">F15*E15</f>
        <v>110</v>
      </c>
      <c r="H15" s="57"/>
      <c r="I15" s="3"/>
    </row>
    <row r="16" spans="1:9" ht="37.15" customHeight="1">
      <c r="A16" s="3"/>
      <c r="B16" s="13">
        <v>5</v>
      </c>
      <c r="C16" s="14" t="s">
        <v>267</v>
      </c>
      <c r="D16" s="15" t="s">
        <v>265</v>
      </c>
      <c r="E16" s="37">
        <v>20</v>
      </c>
      <c r="F16" s="44">
        <v>5.5</v>
      </c>
      <c r="G16" s="56">
        <f t="shared" si="0"/>
        <v>110</v>
      </c>
      <c r="H16" s="57"/>
      <c r="I16" s="3"/>
    </row>
    <row r="17" spans="1:9" ht="36" customHeight="1">
      <c r="A17" s="3"/>
      <c r="B17" s="13">
        <v>6</v>
      </c>
      <c r="C17" s="14" t="s">
        <v>264</v>
      </c>
      <c r="D17" s="15" t="s">
        <v>262</v>
      </c>
      <c r="E17" s="37">
        <v>10</v>
      </c>
      <c r="F17" s="44">
        <v>5.5</v>
      </c>
      <c r="G17" s="56">
        <f t="shared" si="0"/>
        <v>55</v>
      </c>
      <c r="H17" s="57"/>
      <c r="I17" s="3"/>
    </row>
    <row r="18" spans="1:9" ht="37.15" customHeight="1">
      <c r="A18" s="3"/>
      <c r="B18" s="13">
        <v>7</v>
      </c>
      <c r="C18" s="14" t="s">
        <v>261</v>
      </c>
      <c r="D18" s="15" t="s">
        <v>259</v>
      </c>
      <c r="E18" s="37">
        <v>20</v>
      </c>
      <c r="F18" s="44">
        <v>5.5</v>
      </c>
      <c r="G18" s="56">
        <f t="shared" si="0"/>
        <v>110</v>
      </c>
      <c r="H18" s="57"/>
      <c r="I18" s="3"/>
    </row>
    <row r="19" spans="1:9" ht="37.15" customHeight="1">
      <c r="A19" s="3"/>
      <c r="B19" s="13">
        <v>8</v>
      </c>
      <c r="C19" s="14" t="s">
        <v>258</v>
      </c>
      <c r="D19" s="15" t="s">
        <v>256</v>
      </c>
      <c r="E19" s="37">
        <v>10</v>
      </c>
      <c r="F19" s="44">
        <v>5.5</v>
      </c>
      <c r="G19" s="56">
        <f t="shared" si="0"/>
        <v>55</v>
      </c>
      <c r="H19" s="57"/>
      <c r="I19" s="3"/>
    </row>
    <row r="20" spans="1:9" ht="37.15" customHeight="1">
      <c r="A20" s="3"/>
      <c r="B20" s="13">
        <v>9</v>
      </c>
      <c r="C20" s="14" t="s">
        <v>255</v>
      </c>
      <c r="D20" s="15" t="s">
        <v>253</v>
      </c>
      <c r="E20" s="37">
        <v>10</v>
      </c>
      <c r="F20" s="44">
        <v>5.5</v>
      </c>
      <c r="G20" s="56">
        <f t="shared" si="0"/>
        <v>55</v>
      </c>
      <c r="H20" s="57"/>
      <c r="I20" s="3"/>
    </row>
    <row r="21" spans="1:9" ht="36" customHeight="1">
      <c r="A21" s="3"/>
      <c r="B21" s="13">
        <v>10</v>
      </c>
      <c r="C21" s="14" t="s">
        <v>252</v>
      </c>
      <c r="D21" s="15" t="s">
        <v>250</v>
      </c>
      <c r="E21" s="37">
        <v>20</v>
      </c>
      <c r="F21" s="44">
        <v>5.5</v>
      </c>
      <c r="G21" s="56">
        <f t="shared" si="0"/>
        <v>110</v>
      </c>
      <c r="H21" s="57"/>
      <c r="I21" s="3"/>
    </row>
    <row r="22" spans="1:9" ht="37.15" customHeight="1">
      <c r="A22" s="3"/>
      <c r="B22" s="13">
        <v>11</v>
      </c>
      <c r="C22" s="14" t="s">
        <v>249</v>
      </c>
      <c r="D22" s="15" t="s">
        <v>247</v>
      </c>
      <c r="E22" s="37">
        <v>10</v>
      </c>
      <c r="F22" s="44">
        <v>5.5</v>
      </c>
      <c r="G22" s="56">
        <f t="shared" si="0"/>
        <v>55</v>
      </c>
      <c r="H22" s="57"/>
      <c r="I22" s="3"/>
    </row>
    <row r="23" spans="1:9" ht="37.15" customHeight="1">
      <c r="A23" s="3"/>
      <c r="B23" s="13">
        <v>12</v>
      </c>
      <c r="C23" s="14" t="s">
        <v>246</v>
      </c>
      <c r="D23" s="15" t="s">
        <v>244</v>
      </c>
      <c r="E23" s="37">
        <v>20</v>
      </c>
      <c r="F23" s="44">
        <v>5.5</v>
      </c>
      <c r="G23" s="56">
        <f t="shared" si="0"/>
        <v>110</v>
      </c>
      <c r="H23" s="57"/>
      <c r="I23" s="3"/>
    </row>
    <row r="24" spans="1:9" ht="36" customHeight="1">
      <c r="A24" s="3"/>
      <c r="B24" s="13">
        <v>13</v>
      </c>
      <c r="C24" s="14" t="s">
        <v>243</v>
      </c>
      <c r="D24" s="15" t="s">
        <v>241</v>
      </c>
      <c r="E24" s="37">
        <v>10</v>
      </c>
      <c r="F24" s="44">
        <v>5.5</v>
      </c>
      <c r="G24" s="56">
        <f t="shared" si="0"/>
        <v>55</v>
      </c>
      <c r="H24" s="57"/>
      <c r="I24" s="3"/>
    </row>
    <row r="25" spans="1:9" ht="37.15" customHeight="1">
      <c r="A25" s="3"/>
      <c r="B25" s="13">
        <v>14</v>
      </c>
      <c r="C25" s="14" t="s">
        <v>240</v>
      </c>
      <c r="D25" s="15" t="s">
        <v>238</v>
      </c>
      <c r="E25" s="37">
        <v>10</v>
      </c>
      <c r="F25" s="44">
        <v>5.5</v>
      </c>
      <c r="G25" s="56">
        <f t="shared" si="0"/>
        <v>55</v>
      </c>
      <c r="H25" s="57"/>
      <c r="I25" s="3"/>
    </row>
    <row r="26" spans="1:9" ht="37.15" customHeight="1">
      <c r="A26" s="3"/>
      <c r="B26" s="13">
        <v>15</v>
      </c>
      <c r="C26" s="14" t="s">
        <v>237</v>
      </c>
      <c r="D26" s="15" t="s">
        <v>235</v>
      </c>
      <c r="E26" s="37">
        <v>20</v>
      </c>
      <c r="F26" s="44">
        <v>5.5</v>
      </c>
      <c r="G26" s="56">
        <f t="shared" si="0"/>
        <v>110</v>
      </c>
      <c r="H26" s="57"/>
      <c r="I26" s="3"/>
    </row>
    <row r="27" spans="1:9" ht="37.15" customHeight="1">
      <c r="A27" s="3"/>
      <c r="B27" s="13">
        <v>16</v>
      </c>
      <c r="C27" s="14" t="s">
        <v>225</v>
      </c>
      <c r="D27" s="15" t="s">
        <v>223</v>
      </c>
      <c r="E27" s="37">
        <v>20</v>
      </c>
      <c r="F27" s="44">
        <v>5.5</v>
      </c>
      <c r="G27" s="56">
        <f t="shared" si="0"/>
        <v>110</v>
      </c>
      <c r="H27" s="57"/>
      <c r="I27" s="3"/>
    </row>
    <row r="28" spans="1:9" ht="36" customHeight="1">
      <c r="A28" s="3"/>
      <c r="B28" s="13">
        <v>17</v>
      </c>
      <c r="C28" s="14" t="s">
        <v>201</v>
      </c>
      <c r="D28" s="15" t="s">
        <v>199</v>
      </c>
      <c r="E28" s="40">
        <v>10</v>
      </c>
      <c r="F28" s="44">
        <v>5.5</v>
      </c>
      <c r="G28" s="56">
        <f>E28*F28</f>
        <v>55</v>
      </c>
      <c r="H28" s="57"/>
      <c r="I28" s="3"/>
    </row>
    <row r="29" spans="1:9" ht="37.15" customHeight="1">
      <c r="A29" s="3"/>
      <c r="B29" s="13">
        <v>18</v>
      </c>
      <c r="C29" s="14" t="s">
        <v>198</v>
      </c>
      <c r="D29" s="15" t="s">
        <v>195</v>
      </c>
      <c r="E29" s="40">
        <v>10</v>
      </c>
      <c r="F29" s="44">
        <v>5.5</v>
      </c>
      <c r="G29" s="56">
        <f>E29*F29</f>
        <v>55</v>
      </c>
      <c r="H29" s="57"/>
      <c r="I29" s="3"/>
    </row>
    <row r="30" spans="1:9" ht="37.15" customHeight="1">
      <c r="A30" s="3"/>
      <c r="B30" s="13">
        <v>19</v>
      </c>
      <c r="C30" s="41" t="s">
        <v>193</v>
      </c>
      <c r="D30" s="42" t="s">
        <v>191</v>
      </c>
      <c r="E30" s="43">
        <v>10</v>
      </c>
      <c r="F30" s="44">
        <v>6.5</v>
      </c>
      <c r="G30" s="56">
        <f t="shared" si="0"/>
        <v>65</v>
      </c>
      <c r="H30" s="57"/>
      <c r="I30" s="3"/>
    </row>
    <row r="31" spans="1:9" ht="37.15" customHeight="1">
      <c r="A31" s="3"/>
      <c r="B31" s="13">
        <v>20</v>
      </c>
      <c r="C31" s="14" t="s">
        <v>185</v>
      </c>
      <c r="D31" s="15" t="s">
        <v>183</v>
      </c>
      <c r="E31" s="37">
        <v>30</v>
      </c>
      <c r="F31" s="44">
        <v>5.5</v>
      </c>
      <c r="G31" s="56">
        <f t="shared" si="0"/>
        <v>165</v>
      </c>
      <c r="H31" s="57"/>
      <c r="I31" s="3"/>
    </row>
    <row r="32" spans="1:9" ht="37.15" customHeight="1">
      <c r="A32" s="3"/>
      <c r="B32" s="13">
        <v>21</v>
      </c>
      <c r="C32" s="14" t="s">
        <v>182</v>
      </c>
      <c r="D32" s="15" t="s">
        <v>180</v>
      </c>
      <c r="E32" s="37">
        <v>10</v>
      </c>
      <c r="F32" s="44">
        <v>5.5</v>
      </c>
      <c r="G32" s="56">
        <f t="shared" si="0"/>
        <v>55</v>
      </c>
      <c r="H32" s="57"/>
      <c r="I32" s="3"/>
    </row>
    <row r="33" spans="1:9" ht="37.15" customHeight="1">
      <c r="A33" s="3"/>
      <c r="B33" s="13">
        <v>22</v>
      </c>
      <c r="C33" s="14" t="s">
        <v>170</v>
      </c>
      <c r="D33" s="15" t="s">
        <v>168</v>
      </c>
      <c r="E33" s="37">
        <v>10</v>
      </c>
      <c r="F33" s="44">
        <v>5.5</v>
      </c>
      <c r="G33" s="56">
        <f t="shared" si="0"/>
        <v>55</v>
      </c>
      <c r="H33" s="57"/>
      <c r="I33" s="3"/>
    </row>
    <row r="34" spans="1:9" ht="36" customHeight="1">
      <c r="A34" s="3"/>
      <c r="B34" s="13">
        <v>23</v>
      </c>
      <c r="C34" s="14" t="s">
        <v>164</v>
      </c>
      <c r="D34" s="15" t="s">
        <v>162</v>
      </c>
      <c r="E34" s="37">
        <v>10</v>
      </c>
      <c r="F34" s="44">
        <v>5.5</v>
      </c>
      <c r="G34" s="56">
        <f t="shared" si="0"/>
        <v>55</v>
      </c>
      <c r="H34" s="57"/>
      <c r="I34" s="3"/>
    </row>
    <row r="35" spans="1:9" ht="37.15" customHeight="1">
      <c r="A35" s="3"/>
      <c r="B35" s="13">
        <v>24</v>
      </c>
      <c r="C35" s="14" t="s">
        <v>161</v>
      </c>
      <c r="D35" s="15" t="s">
        <v>159</v>
      </c>
      <c r="E35" s="37">
        <v>30</v>
      </c>
      <c r="F35" s="44">
        <v>5.5</v>
      </c>
      <c r="G35" s="56">
        <f t="shared" si="0"/>
        <v>165</v>
      </c>
      <c r="H35" s="57"/>
      <c r="I35" s="3"/>
    </row>
    <row r="36" spans="1:9" ht="37.15" customHeight="1">
      <c r="A36" s="3"/>
      <c r="B36" s="13">
        <v>25</v>
      </c>
      <c r="C36" s="14" t="s">
        <v>124</v>
      </c>
      <c r="D36" s="15" t="s">
        <v>122</v>
      </c>
      <c r="E36" s="37">
        <v>20</v>
      </c>
      <c r="F36" s="44">
        <v>5.5</v>
      </c>
      <c r="G36" s="56">
        <f t="shared" si="0"/>
        <v>110</v>
      </c>
      <c r="H36" s="57"/>
      <c r="I36" s="3"/>
    </row>
    <row r="37" spans="1:9" ht="37.15" customHeight="1">
      <c r="A37" s="3"/>
      <c r="B37" s="13">
        <v>26</v>
      </c>
      <c r="C37" s="14" t="s">
        <v>118</v>
      </c>
      <c r="D37" s="15" t="s">
        <v>116</v>
      </c>
      <c r="E37" s="37">
        <v>10</v>
      </c>
      <c r="F37" s="44">
        <v>5.5</v>
      </c>
      <c r="G37" s="56">
        <f t="shared" si="0"/>
        <v>55</v>
      </c>
      <c r="H37" s="57"/>
      <c r="I37" s="3"/>
    </row>
    <row r="38" spans="1:9" ht="36" customHeight="1">
      <c r="A38" s="3"/>
      <c r="B38" s="13">
        <v>27</v>
      </c>
      <c r="C38" s="14" t="s">
        <v>115</v>
      </c>
      <c r="D38" s="15" t="s">
        <v>113</v>
      </c>
      <c r="E38" s="37">
        <v>10</v>
      </c>
      <c r="F38" s="44">
        <v>5.5</v>
      </c>
      <c r="G38" s="56">
        <f t="shared" si="0"/>
        <v>55</v>
      </c>
      <c r="H38" s="57"/>
      <c r="I38" s="3"/>
    </row>
    <row r="39" spans="1:9" ht="37.15" customHeight="1">
      <c r="A39" s="3"/>
      <c r="B39" s="13">
        <v>28</v>
      </c>
      <c r="C39" s="14" t="s">
        <v>109</v>
      </c>
      <c r="D39" s="15" t="s">
        <v>107</v>
      </c>
      <c r="E39" s="37">
        <v>10</v>
      </c>
      <c r="F39" s="44">
        <v>5.5</v>
      </c>
      <c r="G39" s="56">
        <f t="shared" si="0"/>
        <v>55</v>
      </c>
      <c r="H39" s="57"/>
      <c r="I39" s="3"/>
    </row>
    <row r="40" spans="1:9" ht="36" customHeight="1">
      <c r="A40" s="3"/>
      <c r="B40" s="13">
        <v>29</v>
      </c>
      <c r="C40" s="14" t="s">
        <v>91</v>
      </c>
      <c r="D40" s="15" t="s">
        <v>89</v>
      </c>
      <c r="E40" s="37">
        <v>10</v>
      </c>
      <c r="F40" s="44">
        <v>5.5</v>
      </c>
      <c r="G40" s="56">
        <f t="shared" si="0"/>
        <v>55</v>
      </c>
      <c r="H40" s="57"/>
      <c r="I40" s="3"/>
    </row>
    <row r="41" spans="1:9" ht="37.15" customHeight="1">
      <c r="A41" s="3"/>
      <c r="B41" s="13">
        <v>30</v>
      </c>
      <c r="C41" s="14" t="s">
        <v>79</v>
      </c>
      <c r="D41" s="15" t="s">
        <v>77</v>
      </c>
      <c r="E41" s="37">
        <v>10</v>
      </c>
      <c r="F41" s="44">
        <v>5.5</v>
      </c>
      <c r="G41" s="56">
        <f t="shared" si="0"/>
        <v>55</v>
      </c>
      <c r="H41" s="57"/>
      <c r="I41" s="3"/>
    </row>
    <row r="42" spans="1:9" ht="37.15" customHeight="1">
      <c r="A42" s="3"/>
      <c r="B42" s="13">
        <v>31</v>
      </c>
      <c r="C42" s="14" t="s">
        <v>76</v>
      </c>
      <c r="D42" s="15" t="s">
        <v>74</v>
      </c>
      <c r="E42" s="37">
        <v>10</v>
      </c>
      <c r="F42" s="44">
        <v>5.5</v>
      </c>
      <c r="G42" s="56">
        <f t="shared" si="0"/>
        <v>55</v>
      </c>
      <c r="H42" s="57"/>
      <c r="I42" s="3"/>
    </row>
    <row r="43" spans="1:9" ht="37.15" customHeight="1">
      <c r="A43" s="3"/>
      <c r="B43" s="13">
        <v>32</v>
      </c>
      <c r="C43" s="14" t="s">
        <v>52</v>
      </c>
      <c r="D43" s="15" t="s">
        <v>50</v>
      </c>
      <c r="E43" s="37">
        <v>10</v>
      </c>
      <c r="F43" s="44">
        <v>5.5</v>
      </c>
      <c r="G43" s="56">
        <f t="shared" si="0"/>
        <v>55</v>
      </c>
      <c r="H43" s="57"/>
      <c r="I43" s="3"/>
    </row>
    <row r="44" spans="1:9" ht="36" customHeight="1">
      <c r="A44" s="3"/>
      <c r="B44" s="13">
        <v>33</v>
      </c>
      <c r="C44" s="14" t="s">
        <v>28</v>
      </c>
      <c r="D44" s="15" t="s">
        <v>25</v>
      </c>
      <c r="E44" s="37">
        <v>10</v>
      </c>
      <c r="F44" s="44">
        <v>5.5</v>
      </c>
      <c r="G44" s="56">
        <f t="shared" si="0"/>
        <v>55</v>
      </c>
      <c r="H44" s="57"/>
      <c r="I44" s="3"/>
    </row>
    <row r="45" spans="1:9" ht="36" customHeight="1">
      <c r="A45" s="3"/>
      <c r="B45" s="13">
        <v>34</v>
      </c>
      <c r="C45" s="14" t="s">
        <v>188</v>
      </c>
      <c r="D45" s="15" t="s">
        <v>186</v>
      </c>
      <c r="E45" s="37">
        <v>10</v>
      </c>
      <c r="F45" s="44">
        <v>5.5</v>
      </c>
      <c r="G45" s="56">
        <f>E45*F45</f>
        <v>55</v>
      </c>
      <c r="H45" s="57"/>
      <c r="I45" s="3"/>
    </row>
    <row r="46" spans="1:9" ht="36" customHeight="1">
      <c r="A46" s="3"/>
      <c r="B46" s="13">
        <v>35</v>
      </c>
      <c r="C46" s="14" t="s">
        <v>179</v>
      </c>
      <c r="D46" s="15" t="s">
        <v>177</v>
      </c>
      <c r="E46" s="37">
        <v>10</v>
      </c>
      <c r="F46" s="44">
        <v>5.5</v>
      </c>
      <c r="G46" s="56">
        <f t="shared" ref="G46:G68" si="1">E46*F46</f>
        <v>55</v>
      </c>
      <c r="H46" s="57"/>
      <c r="I46" s="3"/>
    </row>
    <row r="47" spans="1:9" ht="36" customHeight="1">
      <c r="A47" s="3"/>
      <c r="B47" s="13">
        <v>36</v>
      </c>
      <c r="C47" s="14" t="s">
        <v>280</v>
      </c>
      <c r="D47" s="15" t="s">
        <v>283</v>
      </c>
      <c r="E47" s="37">
        <v>10</v>
      </c>
      <c r="F47" s="44">
        <v>7</v>
      </c>
      <c r="G47" s="56">
        <f t="shared" si="1"/>
        <v>70</v>
      </c>
      <c r="H47" s="57"/>
      <c r="I47" s="3"/>
    </row>
    <row r="48" spans="1:9" ht="36" customHeight="1">
      <c r="A48" s="3"/>
      <c r="B48" s="13">
        <v>37</v>
      </c>
      <c r="C48" s="14" t="s">
        <v>281</v>
      </c>
      <c r="D48" s="15" t="s">
        <v>284</v>
      </c>
      <c r="E48" s="37">
        <v>10</v>
      </c>
      <c r="F48" s="44">
        <v>7</v>
      </c>
      <c r="G48" s="56">
        <f t="shared" si="1"/>
        <v>70</v>
      </c>
      <c r="H48" s="57"/>
      <c r="I48" s="3"/>
    </row>
    <row r="49" spans="1:9" ht="36" customHeight="1">
      <c r="A49" s="3"/>
      <c r="B49" s="13">
        <v>38</v>
      </c>
      <c r="C49" s="14" t="s">
        <v>282</v>
      </c>
      <c r="D49" s="15" t="s">
        <v>285</v>
      </c>
      <c r="E49" s="37">
        <v>10</v>
      </c>
      <c r="F49" s="44">
        <v>7</v>
      </c>
      <c r="G49" s="56">
        <f t="shared" si="1"/>
        <v>70</v>
      </c>
      <c r="H49" s="57"/>
      <c r="I49" s="3"/>
    </row>
    <row r="50" spans="1:9" ht="36" customHeight="1">
      <c r="A50" s="3"/>
      <c r="B50" s="13">
        <v>39</v>
      </c>
      <c r="C50" s="14" t="s">
        <v>49</v>
      </c>
      <c r="D50" s="15" t="s">
        <v>47</v>
      </c>
      <c r="E50" s="37">
        <v>10</v>
      </c>
      <c r="F50" s="44">
        <v>5.5</v>
      </c>
      <c r="G50" s="56">
        <f t="shared" si="1"/>
        <v>55</v>
      </c>
      <c r="H50" s="57"/>
      <c r="I50" s="3"/>
    </row>
    <row r="51" spans="1:9" ht="36" customHeight="1">
      <c r="A51" s="3"/>
      <c r="B51" s="13">
        <v>40</v>
      </c>
      <c r="C51" s="14" t="s">
        <v>37</v>
      </c>
      <c r="D51" s="15" t="s">
        <v>35</v>
      </c>
      <c r="E51" s="37">
        <v>10</v>
      </c>
      <c r="F51" s="44">
        <v>5.5</v>
      </c>
      <c r="G51" s="56">
        <f t="shared" si="1"/>
        <v>55</v>
      </c>
      <c r="H51" s="57"/>
      <c r="I51" s="3"/>
    </row>
    <row r="52" spans="1:9" ht="42.95" customHeight="1">
      <c r="A52" s="3"/>
      <c r="B52" s="13">
        <v>41</v>
      </c>
      <c r="C52" s="14" t="s">
        <v>286</v>
      </c>
      <c r="D52" s="15" t="s">
        <v>287</v>
      </c>
      <c r="E52" s="37">
        <v>10</v>
      </c>
      <c r="F52" s="44">
        <v>11</v>
      </c>
      <c r="G52" s="56">
        <f t="shared" si="1"/>
        <v>110</v>
      </c>
      <c r="H52" s="57"/>
      <c r="I52" s="3"/>
    </row>
    <row r="53" spans="1:9" ht="50.1" customHeight="1">
      <c r="A53" s="3"/>
      <c r="B53" s="13">
        <v>42</v>
      </c>
      <c r="C53" s="14" t="s">
        <v>134</v>
      </c>
      <c r="D53" s="15" t="s">
        <v>132</v>
      </c>
      <c r="E53" s="37">
        <v>10</v>
      </c>
      <c r="F53" s="44">
        <v>7.5</v>
      </c>
      <c r="G53" s="56">
        <f t="shared" si="1"/>
        <v>75</v>
      </c>
      <c r="H53" s="57"/>
      <c r="I53" s="3"/>
    </row>
    <row r="54" spans="1:9" ht="36" customHeight="1">
      <c r="A54" s="3"/>
      <c r="B54" s="13">
        <v>43</v>
      </c>
      <c r="C54" s="14" t="s">
        <v>64</v>
      </c>
      <c r="D54" s="15" t="s">
        <v>62</v>
      </c>
      <c r="E54" s="37">
        <v>10</v>
      </c>
      <c r="F54" s="44">
        <v>5.5</v>
      </c>
      <c r="G54" s="56">
        <f t="shared" si="1"/>
        <v>55</v>
      </c>
      <c r="H54" s="57"/>
      <c r="I54" s="3"/>
    </row>
    <row r="55" spans="1:9" ht="36" customHeight="1">
      <c r="A55" s="3"/>
      <c r="B55" s="13">
        <v>44</v>
      </c>
      <c r="C55" s="14" t="s">
        <v>130</v>
      </c>
      <c r="D55" s="15" t="s">
        <v>128</v>
      </c>
      <c r="E55" s="37">
        <v>10</v>
      </c>
      <c r="F55" s="44">
        <v>5.5</v>
      </c>
      <c r="G55" s="56">
        <f t="shared" si="1"/>
        <v>55</v>
      </c>
      <c r="H55" s="57"/>
      <c r="I55" s="3"/>
    </row>
    <row r="56" spans="1:9" ht="36" customHeight="1">
      <c r="A56" s="3"/>
      <c r="B56" s="13">
        <v>45</v>
      </c>
      <c r="C56" s="41" t="s">
        <v>288</v>
      </c>
      <c r="D56" s="42" t="s">
        <v>292</v>
      </c>
      <c r="E56" s="43">
        <v>10</v>
      </c>
      <c r="F56" s="44">
        <v>8</v>
      </c>
      <c r="G56" s="56">
        <f t="shared" si="1"/>
        <v>80</v>
      </c>
      <c r="H56" s="57"/>
      <c r="I56" s="3"/>
    </row>
    <row r="57" spans="1:9" ht="36" customHeight="1">
      <c r="A57" s="3"/>
      <c r="B57" s="13">
        <v>47</v>
      </c>
      <c r="C57" s="41" t="s">
        <v>289</v>
      </c>
      <c r="D57" s="42" t="s">
        <v>293</v>
      </c>
      <c r="E57" s="43">
        <v>10</v>
      </c>
      <c r="F57" s="44">
        <v>6.5</v>
      </c>
      <c r="G57" s="56">
        <f t="shared" si="1"/>
        <v>65</v>
      </c>
      <c r="H57" s="57"/>
      <c r="I57" s="3"/>
    </row>
    <row r="58" spans="1:9" ht="36" customHeight="1">
      <c r="A58" s="3"/>
      <c r="B58" s="13">
        <v>48</v>
      </c>
      <c r="C58" s="14" t="s">
        <v>164</v>
      </c>
      <c r="D58" s="15" t="s">
        <v>162</v>
      </c>
      <c r="E58" s="37">
        <v>10</v>
      </c>
      <c r="F58" s="44">
        <v>5.5</v>
      </c>
      <c r="G58" s="56">
        <f t="shared" si="1"/>
        <v>55</v>
      </c>
      <c r="H58" s="57"/>
      <c r="I58" s="3"/>
    </row>
    <row r="59" spans="1:9" ht="36" customHeight="1">
      <c r="A59" s="3"/>
      <c r="B59" s="13">
        <v>49</v>
      </c>
      <c r="C59" s="14" t="s">
        <v>34</v>
      </c>
      <c r="D59" s="15" t="s">
        <v>31</v>
      </c>
      <c r="E59" s="37">
        <v>10</v>
      </c>
      <c r="F59" s="44">
        <v>5.5</v>
      </c>
      <c r="G59" s="56">
        <f t="shared" si="1"/>
        <v>55</v>
      </c>
      <c r="H59" s="57"/>
      <c r="I59" s="3"/>
    </row>
    <row r="60" spans="1:9" ht="36" customHeight="1">
      <c r="A60" s="3"/>
      <c r="B60" s="13">
        <v>50</v>
      </c>
      <c r="C60" s="14" t="s">
        <v>37</v>
      </c>
      <c r="D60" s="15" t="s">
        <v>35</v>
      </c>
      <c r="E60" s="37">
        <v>10</v>
      </c>
      <c r="F60" s="44">
        <v>5.5</v>
      </c>
      <c r="G60" s="56">
        <f t="shared" si="1"/>
        <v>55</v>
      </c>
      <c r="H60" s="57"/>
      <c r="I60" s="3"/>
    </row>
    <row r="61" spans="1:9" ht="36" customHeight="1">
      <c r="A61" s="3"/>
      <c r="B61" s="13">
        <v>51</v>
      </c>
      <c r="C61" s="14" t="s">
        <v>46</v>
      </c>
      <c r="D61" s="15" t="s">
        <v>44</v>
      </c>
      <c r="E61" s="37">
        <v>10</v>
      </c>
      <c r="F61" s="44">
        <v>5.5</v>
      </c>
      <c r="G61" s="56">
        <f t="shared" si="1"/>
        <v>55</v>
      </c>
      <c r="H61" s="57"/>
      <c r="I61" s="3"/>
    </row>
    <row r="62" spans="1:9" ht="36" customHeight="1">
      <c r="A62" s="3"/>
      <c r="B62" s="13">
        <v>52</v>
      </c>
      <c r="C62" s="14" t="s">
        <v>58</v>
      </c>
      <c r="D62" s="15" t="s">
        <v>56</v>
      </c>
      <c r="E62" s="37">
        <v>10</v>
      </c>
      <c r="F62" s="44">
        <v>5.5</v>
      </c>
      <c r="G62" s="56">
        <f t="shared" si="1"/>
        <v>55</v>
      </c>
      <c r="H62" s="57"/>
      <c r="I62" s="3"/>
    </row>
    <row r="63" spans="1:9" ht="36" customHeight="1">
      <c r="A63" s="3"/>
      <c r="B63" s="13">
        <v>53</v>
      </c>
      <c r="C63" s="14" t="s">
        <v>61</v>
      </c>
      <c r="D63" s="15" t="s">
        <v>59</v>
      </c>
      <c r="E63" s="37">
        <v>10</v>
      </c>
      <c r="F63" s="44">
        <v>5.5</v>
      </c>
      <c r="G63" s="56">
        <f t="shared" si="1"/>
        <v>55</v>
      </c>
      <c r="H63" s="57"/>
      <c r="I63" s="3"/>
    </row>
    <row r="64" spans="1:9" ht="36" customHeight="1">
      <c r="A64" s="3"/>
      <c r="B64" s="13">
        <v>55</v>
      </c>
      <c r="C64" s="41" t="s">
        <v>290</v>
      </c>
      <c r="D64" s="42" t="s">
        <v>294</v>
      </c>
      <c r="E64" s="43">
        <v>10</v>
      </c>
      <c r="F64" s="44">
        <v>8</v>
      </c>
      <c r="G64" s="56">
        <f t="shared" si="1"/>
        <v>80</v>
      </c>
      <c r="H64" s="57"/>
      <c r="I64" s="3"/>
    </row>
    <row r="65" spans="1:9" ht="36" customHeight="1">
      <c r="A65" s="3"/>
      <c r="B65" s="13">
        <v>60</v>
      </c>
      <c r="C65" s="14" t="s">
        <v>70</v>
      </c>
      <c r="D65" s="15" t="s">
        <v>68</v>
      </c>
      <c r="E65" s="37">
        <v>10</v>
      </c>
      <c r="F65" s="44">
        <v>5.5</v>
      </c>
      <c r="G65" s="56">
        <f t="shared" si="1"/>
        <v>55</v>
      </c>
      <c r="H65" s="57"/>
      <c r="I65" s="3"/>
    </row>
    <row r="66" spans="1:9" ht="36" customHeight="1">
      <c r="A66" s="3"/>
      <c r="B66" s="13">
        <v>61</v>
      </c>
      <c r="C66" s="14" t="s">
        <v>103</v>
      </c>
      <c r="D66" s="15" t="s">
        <v>101</v>
      </c>
      <c r="E66" s="37">
        <v>10</v>
      </c>
      <c r="F66" s="44">
        <v>5.5</v>
      </c>
      <c r="G66" s="56">
        <f t="shared" si="1"/>
        <v>55</v>
      </c>
      <c r="H66" s="57"/>
      <c r="I66" s="3"/>
    </row>
    <row r="67" spans="1:9" ht="36" customHeight="1">
      <c r="A67" s="3"/>
      <c r="B67" s="13">
        <v>62</v>
      </c>
      <c r="C67" s="14" t="s">
        <v>106</v>
      </c>
      <c r="D67" s="15" t="s">
        <v>104</v>
      </c>
      <c r="E67" s="37">
        <v>10</v>
      </c>
      <c r="F67" s="44">
        <v>5.5</v>
      </c>
      <c r="G67" s="56">
        <f t="shared" si="1"/>
        <v>55</v>
      </c>
      <c r="H67" s="57"/>
      <c r="I67" s="3"/>
    </row>
    <row r="68" spans="1:9" ht="36" customHeight="1">
      <c r="A68" s="3"/>
      <c r="B68" s="13">
        <v>64</v>
      </c>
      <c r="C68" s="41" t="s">
        <v>291</v>
      </c>
      <c r="D68" s="42" t="s">
        <v>295</v>
      </c>
      <c r="E68" s="43">
        <v>10</v>
      </c>
      <c r="F68" s="44">
        <v>6.5</v>
      </c>
      <c r="G68" s="56">
        <f t="shared" si="1"/>
        <v>65</v>
      </c>
      <c r="H68" s="57"/>
      <c r="I68" s="3"/>
    </row>
    <row r="69" spans="1:9" ht="34.9" customHeight="1">
      <c r="A69" s="3"/>
      <c r="B69" s="65" t="s">
        <v>298</v>
      </c>
      <c r="C69" s="66"/>
      <c r="D69" s="67"/>
      <c r="E69" s="38">
        <f>SUM(E12:E68)</f>
        <v>1560</v>
      </c>
      <c r="F69" s="68">
        <f>SUM(G12:H68)</f>
        <v>8780</v>
      </c>
      <c r="G69" s="69"/>
      <c r="H69" s="70"/>
      <c r="I69" s="3"/>
    </row>
    <row r="70" spans="1:9" ht="34.9" customHeight="1">
      <c r="A70" s="3"/>
      <c r="B70" s="4"/>
      <c r="C70" s="4"/>
      <c r="D70" s="4"/>
      <c r="E70" s="39"/>
      <c r="F70" s="5"/>
      <c r="G70" s="5"/>
      <c r="H70" s="5"/>
      <c r="I70" s="3"/>
    </row>
    <row r="71" spans="1:9" ht="32.85" customHeight="1">
      <c r="A71" s="3"/>
      <c r="B71" s="3"/>
      <c r="C71" s="3"/>
      <c r="D71" s="71" t="s">
        <v>17</v>
      </c>
      <c r="E71" s="72"/>
      <c r="F71" s="72"/>
      <c r="G71" s="72"/>
      <c r="H71" s="72"/>
      <c r="I71" s="72"/>
    </row>
    <row r="72" spans="1:9" ht="107.1" customHeight="1">
      <c r="A72" s="58" t="s">
        <v>18</v>
      </c>
      <c r="B72" s="71"/>
      <c r="C72" s="71"/>
      <c r="D72" s="72"/>
      <c r="E72" s="72"/>
      <c r="F72" s="72"/>
      <c r="G72" s="72"/>
      <c r="H72" s="72"/>
      <c r="I72" s="72"/>
    </row>
    <row r="73" spans="1:9" ht="5.25" customHeight="1">
      <c r="A73" s="71"/>
      <c r="B73" s="71"/>
      <c r="C73" s="71"/>
      <c r="D73" s="2"/>
      <c r="E73" s="6"/>
      <c r="F73" s="2"/>
      <c r="G73" s="2"/>
      <c r="H73" s="2"/>
      <c r="I73" s="2"/>
    </row>
    <row r="74" spans="1:9" ht="16.149999999999999" customHeight="1">
      <c r="A74" s="73"/>
      <c r="B74" s="73"/>
      <c r="C74" s="73"/>
      <c r="D74" s="74"/>
      <c r="E74" s="74"/>
      <c r="F74" s="74"/>
      <c r="G74" s="74"/>
      <c r="H74" s="74"/>
      <c r="I74" s="74"/>
    </row>
  </sheetData>
  <mergeCells count="82">
    <mergeCell ref="D71:I72"/>
    <mergeCell ref="A72:C72"/>
    <mergeCell ref="A73:C73"/>
    <mergeCell ref="A74:C74"/>
    <mergeCell ref="D74:I74"/>
    <mergeCell ref="G67:H67"/>
    <mergeCell ref="G68:H68"/>
    <mergeCell ref="B69:D69"/>
    <mergeCell ref="F69:H69"/>
    <mergeCell ref="G66:H66"/>
    <mergeCell ref="G60:H60"/>
    <mergeCell ref="G61:H61"/>
    <mergeCell ref="G62:H62"/>
    <mergeCell ref="G63:H63"/>
    <mergeCell ref="G64:H64"/>
    <mergeCell ref="G65:H65"/>
    <mergeCell ref="G59:H59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48:H48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36:H36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24:H24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12:H12"/>
    <mergeCell ref="B6:E6"/>
    <mergeCell ref="F6:H6"/>
    <mergeCell ref="B7:E7"/>
    <mergeCell ref="F7:H7"/>
    <mergeCell ref="B8:E8"/>
    <mergeCell ref="F8:H8"/>
    <mergeCell ref="B9:E9"/>
    <mergeCell ref="F9:H9"/>
    <mergeCell ref="B10:E10"/>
    <mergeCell ref="F10:H10"/>
    <mergeCell ref="G11:H11"/>
    <mergeCell ref="B5:E5"/>
    <mergeCell ref="F5:H5"/>
    <mergeCell ref="B1:H1"/>
    <mergeCell ref="B2:H2"/>
    <mergeCell ref="B3:C3"/>
    <mergeCell ref="B4:E4"/>
    <mergeCell ref="F4:H4"/>
  </mergeCells>
  <hyperlinks>
    <hyperlink ref="B9" r:id="rId1" xr:uid="{C1336560-D9F6-4F76-AEE4-F45CC879EAEC}"/>
    <hyperlink ref="F9" r:id="rId2" display="TEL:8610503904" xr:uid="{0EC036CA-517A-49D4-A80F-BEC84CFFCBB2}"/>
  </hyperlinks>
  <pageMargins left="0.7" right="0.7" top="0.75" bottom="0.75" header="0.3" footer="0.3"/>
  <pageSetup scale="67" orientation="portrait" r:id="rId3"/>
  <rowBreaks count="3" manualBreakCount="3">
    <brk id="27" max="7" man="1"/>
    <brk id="53" max="7" man="1"/>
    <brk id="73" max="16383" man="1"/>
  </rowBreaks>
  <colBreaks count="1" manualBreakCount="1">
    <brk id="8" max="48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F013E-A43E-44B6-ADB3-731C58503445}">
  <sheetPr filterMode="1"/>
  <dimension ref="A1:I87"/>
  <sheetViews>
    <sheetView topLeftCell="A63" zoomScale="55" zoomScaleNormal="55" zoomScaleSheetLayoutView="100" workbookViewId="0">
      <selection activeCell="R84" sqref="R84"/>
    </sheetView>
  </sheetViews>
  <sheetFormatPr defaultColWidth="8.83203125" defaultRowHeight="15"/>
  <cols>
    <col min="1" max="1" width="15.6640625" style="18" bestFit="1" customWidth="1"/>
    <col min="2" max="2" width="8.83203125" style="18"/>
    <col min="3" max="3" width="33.6640625" style="18" bestFit="1" customWidth="1"/>
    <col min="4" max="4" width="37.83203125" style="18" bestFit="1" customWidth="1"/>
    <col min="5" max="6" width="8.83203125" style="18"/>
    <col min="7" max="8" width="37.83203125" style="18" bestFit="1" customWidth="1"/>
    <col min="9" max="9" width="9.83203125" style="18" bestFit="1" customWidth="1"/>
    <col min="10" max="16384" width="8.83203125" style="18"/>
  </cols>
  <sheetData>
    <row r="1" spans="1:9" ht="63">
      <c r="A1" s="23" t="s">
        <v>279</v>
      </c>
      <c r="B1" s="22"/>
      <c r="C1" s="22" t="s">
        <v>197</v>
      </c>
      <c r="D1" s="22" t="s">
        <v>278</v>
      </c>
      <c r="E1" s="22">
        <v>1</v>
      </c>
      <c r="F1" s="22">
        <v>1.75</v>
      </c>
      <c r="G1" s="22" t="s">
        <v>277</v>
      </c>
      <c r="H1" s="20" t="s">
        <v>194</v>
      </c>
      <c r="I1" s="33">
        <v>300</v>
      </c>
    </row>
    <row r="2" spans="1:9" ht="84">
      <c r="A2" s="23" t="s">
        <v>276</v>
      </c>
      <c r="B2" s="22"/>
      <c r="C2" s="22" t="s">
        <v>197</v>
      </c>
      <c r="D2" s="22" t="s">
        <v>275</v>
      </c>
      <c r="E2" s="22">
        <v>1</v>
      </c>
      <c r="F2" s="22">
        <v>1.75</v>
      </c>
      <c r="G2" s="22" t="s">
        <v>274</v>
      </c>
      <c r="H2" s="20" t="s">
        <v>194</v>
      </c>
      <c r="I2" s="33">
        <v>400</v>
      </c>
    </row>
    <row r="3" spans="1:9" ht="63">
      <c r="A3" s="23" t="s">
        <v>273</v>
      </c>
      <c r="B3" s="22"/>
      <c r="C3" s="22" t="s">
        <v>197</v>
      </c>
      <c r="D3" s="22" t="s">
        <v>272</v>
      </c>
      <c r="E3" s="22">
        <v>1</v>
      </c>
      <c r="F3" s="22">
        <v>1.75</v>
      </c>
      <c r="G3" s="22" t="s">
        <v>271</v>
      </c>
      <c r="H3" s="20" t="s">
        <v>194</v>
      </c>
      <c r="I3" s="33">
        <v>50</v>
      </c>
    </row>
    <row r="4" spans="1:9" ht="63">
      <c r="A4" s="23" t="s">
        <v>270</v>
      </c>
      <c r="B4" s="22"/>
      <c r="C4" s="22" t="s">
        <v>197</v>
      </c>
      <c r="D4" s="22" t="s">
        <v>269</v>
      </c>
      <c r="E4" s="22">
        <v>1</v>
      </c>
      <c r="F4" s="22">
        <v>1.75</v>
      </c>
      <c r="G4" s="22" t="s">
        <v>268</v>
      </c>
      <c r="H4" s="20" t="s">
        <v>194</v>
      </c>
      <c r="I4" s="33">
        <v>20</v>
      </c>
    </row>
    <row r="5" spans="1:9" ht="63">
      <c r="A5" s="23" t="s">
        <v>267</v>
      </c>
      <c r="B5" s="22"/>
      <c r="C5" s="22" t="s">
        <v>197</v>
      </c>
      <c r="D5" s="22" t="s">
        <v>266</v>
      </c>
      <c r="E5" s="22">
        <v>1</v>
      </c>
      <c r="F5" s="22">
        <v>1.75</v>
      </c>
      <c r="G5" s="22" t="s">
        <v>265</v>
      </c>
      <c r="H5" s="20" t="s">
        <v>194</v>
      </c>
      <c r="I5" s="33">
        <v>20</v>
      </c>
    </row>
    <row r="6" spans="1:9" ht="84">
      <c r="A6" s="23" t="s">
        <v>264</v>
      </c>
      <c r="B6" s="22"/>
      <c r="C6" s="22" t="s">
        <v>197</v>
      </c>
      <c r="D6" s="22" t="s">
        <v>263</v>
      </c>
      <c r="E6" s="22">
        <v>1</v>
      </c>
      <c r="F6" s="22">
        <v>1.75</v>
      </c>
      <c r="G6" s="22" t="s">
        <v>262</v>
      </c>
      <c r="H6" s="20" t="s">
        <v>194</v>
      </c>
      <c r="I6" s="33">
        <v>10</v>
      </c>
    </row>
    <row r="7" spans="1:9" ht="84">
      <c r="A7" s="23" t="s">
        <v>261</v>
      </c>
      <c r="B7" s="22"/>
      <c r="C7" s="22" t="s">
        <v>197</v>
      </c>
      <c r="D7" s="22" t="s">
        <v>260</v>
      </c>
      <c r="E7" s="22">
        <v>1</v>
      </c>
      <c r="F7" s="22">
        <v>1.75</v>
      </c>
      <c r="G7" s="22" t="s">
        <v>259</v>
      </c>
      <c r="H7" s="20" t="s">
        <v>194</v>
      </c>
      <c r="I7" s="33">
        <v>20</v>
      </c>
    </row>
    <row r="8" spans="1:9" ht="84">
      <c r="A8" s="23" t="s">
        <v>258</v>
      </c>
      <c r="B8" s="22"/>
      <c r="C8" s="22" t="s">
        <v>197</v>
      </c>
      <c r="D8" s="22" t="s">
        <v>257</v>
      </c>
      <c r="E8" s="22">
        <v>1</v>
      </c>
      <c r="F8" s="22">
        <v>1.75</v>
      </c>
      <c r="G8" s="22" t="s">
        <v>256</v>
      </c>
      <c r="H8" s="20" t="s">
        <v>194</v>
      </c>
      <c r="I8" s="33">
        <v>10</v>
      </c>
    </row>
    <row r="9" spans="1:9" ht="84">
      <c r="A9" s="23" t="s">
        <v>255</v>
      </c>
      <c r="B9" s="22"/>
      <c r="C9" s="22" t="s">
        <v>197</v>
      </c>
      <c r="D9" s="22" t="s">
        <v>254</v>
      </c>
      <c r="E9" s="22">
        <v>1</v>
      </c>
      <c r="F9" s="22">
        <v>1.75</v>
      </c>
      <c r="G9" s="22" t="s">
        <v>253</v>
      </c>
      <c r="H9" s="20" t="s">
        <v>194</v>
      </c>
      <c r="I9" s="33">
        <v>10</v>
      </c>
    </row>
    <row r="10" spans="1:9" ht="84">
      <c r="A10" s="23" t="s">
        <v>252</v>
      </c>
      <c r="B10" s="22"/>
      <c r="C10" s="22" t="s">
        <v>197</v>
      </c>
      <c r="D10" s="22" t="s">
        <v>251</v>
      </c>
      <c r="E10" s="22">
        <v>1</v>
      </c>
      <c r="F10" s="22">
        <v>1.75</v>
      </c>
      <c r="G10" s="22" t="s">
        <v>250</v>
      </c>
      <c r="H10" s="20" t="s">
        <v>194</v>
      </c>
      <c r="I10" s="33">
        <v>20</v>
      </c>
    </row>
    <row r="11" spans="1:9" ht="84">
      <c r="A11" s="23" t="s">
        <v>249</v>
      </c>
      <c r="B11" s="22"/>
      <c r="C11" s="22" t="s">
        <v>197</v>
      </c>
      <c r="D11" s="22" t="s">
        <v>248</v>
      </c>
      <c r="E11" s="22">
        <v>1</v>
      </c>
      <c r="F11" s="22">
        <v>1.75</v>
      </c>
      <c r="G11" s="22" t="s">
        <v>247</v>
      </c>
      <c r="H11" s="20" t="s">
        <v>194</v>
      </c>
      <c r="I11" s="33">
        <v>10</v>
      </c>
    </row>
    <row r="12" spans="1:9" ht="84">
      <c r="A12" s="23" t="s">
        <v>246</v>
      </c>
      <c r="B12" s="22"/>
      <c r="C12" s="22" t="s">
        <v>197</v>
      </c>
      <c r="D12" s="22" t="s">
        <v>245</v>
      </c>
      <c r="E12" s="22">
        <v>1</v>
      </c>
      <c r="F12" s="22">
        <v>1.75</v>
      </c>
      <c r="G12" s="22" t="s">
        <v>244</v>
      </c>
      <c r="H12" s="20" t="s">
        <v>194</v>
      </c>
      <c r="I12" s="35">
        <v>20</v>
      </c>
    </row>
    <row r="13" spans="1:9" ht="84">
      <c r="A13" s="26" t="s">
        <v>243</v>
      </c>
      <c r="B13" s="25"/>
      <c r="C13" s="25" t="s">
        <v>197</v>
      </c>
      <c r="D13" s="25" t="s">
        <v>242</v>
      </c>
      <c r="E13" s="25">
        <v>1</v>
      </c>
      <c r="F13" s="25">
        <v>1.75</v>
      </c>
      <c r="G13" s="25" t="s">
        <v>241</v>
      </c>
      <c r="H13" s="24" t="s">
        <v>194</v>
      </c>
      <c r="I13" s="34">
        <v>10</v>
      </c>
    </row>
    <row r="14" spans="1:9" ht="84">
      <c r="A14" s="26" t="s">
        <v>240</v>
      </c>
      <c r="B14" s="25"/>
      <c r="C14" s="25" t="s">
        <v>197</v>
      </c>
      <c r="D14" s="25" t="s">
        <v>239</v>
      </c>
      <c r="E14" s="25">
        <v>1</v>
      </c>
      <c r="F14" s="25">
        <v>1.75</v>
      </c>
      <c r="G14" s="25" t="s">
        <v>238</v>
      </c>
      <c r="H14" s="24" t="s">
        <v>194</v>
      </c>
      <c r="I14" s="33">
        <v>10</v>
      </c>
    </row>
    <row r="15" spans="1:9" ht="63">
      <c r="A15" s="26" t="s">
        <v>237</v>
      </c>
      <c r="B15" s="25"/>
      <c r="C15" s="25" t="s">
        <v>197</v>
      </c>
      <c r="D15" s="25" t="s">
        <v>236</v>
      </c>
      <c r="E15" s="25">
        <v>1</v>
      </c>
      <c r="F15" s="25">
        <v>1.75</v>
      </c>
      <c r="G15" s="25" t="s">
        <v>235</v>
      </c>
      <c r="H15" s="24" t="s">
        <v>194</v>
      </c>
      <c r="I15" s="33">
        <v>20</v>
      </c>
    </row>
    <row r="16" spans="1:9" ht="84" hidden="1">
      <c r="A16" s="26" t="s">
        <v>234</v>
      </c>
      <c r="B16" s="25"/>
      <c r="C16" s="25" t="s">
        <v>197</v>
      </c>
      <c r="D16" s="25" t="s">
        <v>233</v>
      </c>
      <c r="E16" s="25">
        <v>1</v>
      </c>
      <c r="F16" s="25">
        <v>1.75</v>
      </c>
      <c r="G16" s="25" t="s">
        <v>232</v>
      </c>
      <c r="H16" s="24" t="s">
        <v>194</v>
      </c>
      <c r="I16" s="33"/>
    </row>
    <row r="17" spans="1:9" ht="84" hidden="1">
      <c r="A17" s="26" t="s">
        <v>231</v>
      </c>
      <c r="B17" s="25"/>
      <c r="C17" s="25" t="s">
        <v>197</v>
      </c>
      <c r="D17" s="25" t="s">
        <v>230</v>
      </c>
      <c r="E17" s="25">
        <v>1</v>
      </c>
      <c r="F17" s="25">
        <v>1.75</v>
      </c>
      <c r="G17" s="25" t="s">
        <v>229</v>
      </c>
      <c r="H17" s="24" t="s">
        <v>194</v>
      </c>
      <c r="I17" s="33"/>
    </row>
    <row r="18" spans="1:9" ht="84" hidden="1">
      <c r="A18" s="26" t="s">
        <v>228</v>
      </c>
      <c r="B18" s="25"/>
      <c r="C18" s="25" t="s">
        <v>197</v>
      </c>
      <c r="D18" s="25" t="s">
        <v>227</v>
      </c>
      <c r="E18" s="25">
        <v>1</v>
      </c>
      <c r="F18" s="25">
        <v>1.75</v>
      </c>
      <c r="G18" s="25" t="s">
        <v>226</v>
      </c>
      <c r="H18" s="24" t="s">
        <v>194</v>
      </c>
      <c r="I18" s="33"/>
    </row>
    <row r="19" spans="1:9" ht="84">
      <c r="A19" s="26" t="s">
        <v>225</v>
      </c>
      <c r="B19" s="25"/>
      <c r="C19" s="25" t="s">
        <v>197</v>
      </c>
      <c r="D19" s="25" t="s">
        <v>224</v>
      </c>
      <c r="E19" s="25">
        <v>1</v>
      </c>
      <c r="F19" s="25">
        <v>1.75</v>
      </c>
      <c r="G19" s="25" t="s">
        <v>223</v>
      </c>
      <c r="H19" s="24" t="s">
        <v>194</v>
      </c>
      <c r="I19" s="33">
        <v>20</v>
      </c>
    </row>
    <row r="20" spans="1:9" ht="84" hidden="1">
      <c r="A20" s="26" t="s">
        <v>222</v>
      </c>
      <c r="B20" s="25"/>
      <c r="C20" s="25" t="s">
        <v>197</v>
      </c>
      <c r="D20" s="25" t="s">
        <v>221</v>
      </c>
      <c r="E20" s="25">
        <v>1</v>
      </c>
      <c r="F20" s="25">
        <v>1.75</v>
      </c>
      <c r="G20" s="25" t="s">
        <v>220</v>
      </c>
      <c r="H20" s="24" t="s">
        <v>194</v>
      </c>
      <c r="I20" s="33"/>
    </row>
    <row r="21" spans="1:9" ht="84" hidden="1">
      <c r="A21" s="26" t="s">
        <v>219</v>
      </c>
      <c r="B21" s="25"/>
      <c r="C21" s="25" t="s">
        <v>197</v>
      </c>
      <c r="D21" s="25" t="s">
        <v>218</v>
      </c>
      <c r="E21" s="25">
        <v>1</v>
      </c>
      <c r="F21" s="25">
        <v>1.75</v>
      </c>
      <c r="G21" s="25" t="s">
        <v>217</v>
      </c>
      <c r="H21" s="24" t="s">
        <v>194</v>
      </c>
      <c r="I21" s="33"/>
    </row>
    <row r="22" spans="1:9" ht="84" hidden="1">
      <c r="A22" s="26" t="s">
        <v>216</v>
      </c>
      <c r="B22" s="25"/>
      <c r="C22" s="25" t="s">
        <v>197</v>
      </c>
      <c r="D22" s="25" t="s">
        <v>215</v>
      </c>
      <c r="E22" s="25">
        <v>1</v>
      </c>
      <c r="F22" s="25">
        <v>1.75</v>
      </c>
      <c r="G22" s="25" t="s">
        <v>214</v>
      </c>
      <c r="H22" s="24" t="s">
        <v>194</v>
      </c>
      <c r="I22" s="33"/>
    </row>
    <row r="23" spans="1:9" ht="63" hidden="1">
      <c r="A23" s="26" t="s">
        <v>213</v>
      </c>
      <c r="B23" s="25"/>
      <c r="C23" s="25" t="s">
        <v>197</v>
      </c>
      <c r="D23" s="25" t="s">
        <v>212</v>
      </c>
      <c r="E23" s="25">
        <v>1</v>
      </c>
      <c r="F23" s="25">
        <v>1.75</v>
      </c>
      <c r="G23" s="25" t="s">
        <v>211</v>
      </c>
      <c r="H23" s="24" t="s">
        <v>194</v>
      </c>
      <c r="I23" s="32"/>
    </row>
    <row r="24" spans="1:9" ht="84" hidden="1">
      <c r="A24" s="26" t="s">
        <v>210</v>
      </c>
      <c r="B24" s="25"/>
      <c r="C24" s="25" t="s">
        <v>197</v>
      </c>
      <c r="D24" s="25" t="s">
        <v>209</v>
      </c>
      <c r="E24" s="25">
        <v>1</v>
      </c>
      <c r="F24" s="25">
        <v>1.75</v>
      </c>
      <c r="G24" s="25" t="s">
        <v>208</v>
      </c>
      <c r="H24" s="24" t="s">
        <v>194</v>
      </c>
      <c r="I24" s="31"/>
    </row>
    <row r="25" spans="1:9" ht="84" hidden="1">
      <c r="A25" s="26" t="s">
        <v>207</v>
      </c>
      <c r="B25" s="25"/>
      <c r="C25" s="25" t="s">
        <v>197</v>
      </c>
      <c r="D25" s="25" t="s">
        <v>206</v>
      </c>
      <c r="E25" s="25">
        <v>1</v>
      </c>
      <c r="F25" s="25">
        <v>1.75</v>
      </c>
      <c r="G25" s="25" t="s">
        <v>205</v>
      </c>
      <c r="H25" s="24" t="s">
        <v>194</v>
      </c>
      <c r="I25" s="31"/>
    </row>
    <row r="26" spans="1:9" ht="84" hidden="1">
      <c r="A26" s="26" t="s">
        <v>204</v>
      </c>
      <c r="B26" s="25"/>
      <c r="C26" s="25" t="s">
        <v>197</v>
      </c>
      <c r="D26" s="25" t="s">
        <v>203</v>
      </c>
      <c r="E26" s="25">
        <v>1</v>
      </c>
      <c r="F26" s="25">
        <v>1.75</v>
      </c>
      <c r="G26" s="25" t="s">
        <v>202</v>
      </c>
      <c r="H26" s="24" t="s">
        <v>194</v>
      </c>
      <c r="I26" s="31"/>
    </row>
    <row r="27" spans="1:9" ht="84">
      <c r="A27" s="26" t="s">
        <v>201</v>
      </c>
      <c r="B27" s="25"/>
      <c r="C27" s="25" t="s">
        <v>197</v>
      </c>
      <c r="D27" s="25" t="s">
        <v>200</v>
      </c>
      <c r="E27" s="25">
        <v>1</v>
      </c>
      <c r="F27" s="25">
        <v>1.75</v>
      </c>
      <c r="G27" s="25" t="s">
        <v>199</v>
      </c>
      <c r="H27" s="24" t="s">
        <v>194</v>
      </c>
      <c r="I27" s="31">
        <v>10</v>
      </c>
    </row>
    <row r="28" spans="1:9" ht="63">
      <c r="A28" s="26" t="s">
        <v>198</v>
      </c>
      <c r="B28" s="25"/>
      <c r="C28" s="25" t="s">
        <v>197</v>
      </c>
      <c r="D28" s="25" t="s">
        <v>196</v>
      </c>
      <c r="E28" s="25">
        <v>1</v>
      </c>
      <c r="F28" s="25">
        <v>1.75</v>
      </c>
      <c r="G28" s="25" t="s">
        <v>195</v>
      </c>
      <c r="H28" s="24" t="s">
        <v>194</v>
      </c>
      <c r="I28" s="31">
        <v>10</v>
      </c>
    </row>
    <row r="29" spans="1:9" ht="84">
      <c r="A29" s="30" t="s">
        <v>193</v>
      </c>
      <c r="B29" s="21"/>
      <c r="C29" s="29" t="s">
        <v>27</v>
      </c>
      <c r="D29" s="21" t="s">
        <v>192</v>
      </c>
      <c r="E29" s="21">
        <v>1</v>
      </c>
      <c r="F29" s="21">
        <v>1.75</v>
      </c>
      <c r="G29" s="21" t="s">
        <v>191</v>
      </c>
      <c r="H29" s="28" t="s">
        <v>190</v>
      </c>
      <c r="I29" s="19">
        <v>10</v>
      </c>
    </row>
    <row r="30" spans="1:9" ht="21" hidden="1">
      <c r="A30" s="75" t="s">
        <v>189</v>
      </c>
      <c r="B30" s="76"/>
      <c r="C30" s="76"/>
      <c r="D30" s="76"/>
      <c r="E30" s="76"/>
      <c r="F30" s="76"/>
      <c r="G30" s="76"/>
      <c r="H30" s="76"/>
      <c r="I30" s="19"/>
    </row>
    <row r="31" spans="1:9" ht="84" hidden="1">
      <c r="A31" s="23" t="s">
        <v>188</v>
      </c>
      <c r="B31" s="22"/>
      <c r="C31" s="22" t="s">
        <v>33</v>
      </c>
      <c r="D31" s="22" t="s">
        <v>187</v>
      </c>
      <c r="E31" s="22">
        <v>1</v>
      </c>
      <c r="F31" s="22">
        <v>1.75</v>
      </c>
      <c r="G31" s="22" t="s">
        <v>186</v>
      </c>
      <c r="H31" s="20" t="s">
        <v>30</v>
      </c>
      <c r="I31" s="19"/>
    </row>
    <row r="32" spans="1:9" ht="84">
      <c r="A32" s="23" t="s">
        <v>185</v>
      </c>
      <c r="B32" s="22"/>
      <c r="C32" s="22" t="s">
        <v>33</v>
      </c>
      <c r="D32" s="22" t="s">
        <v>184</v>
      </c>
      <c r="E32" s="22">
        <v>1</v>
      </c>
      <c r="F32" s="22">
        <v>1.75</v>
      </c>
      <c r="G32" s="22" t="s">
        <v>183</v>
      </c>
      <c r="H32" s="20" t="s">
        <v>30</v>
      </c>
      <c r="I32" s="19">
        <v>30</v>
      </c>
    </row>
    <row r="33" spans="1:9" ht="84">
      <c r="A33" s="23" t="s">
        <v>182</v>
      </c>
      <c r="B33" s="22"/>
      <c r="C33" s="22" t="s">
        <v>33</v>
      </c>
      <c r="D33" s="22" t="s">
        <v>181</v>
      </c>
      <c r="E33" s="22">
        <v>1</v>
      </c>
      <c r="F33" s="22">
        <v>1.75</v>
      </c>
      <c r="G33" s="22" t="s">
        <v>180</v>
      </c>
      <c r="H33" s="20" t="s">
        <v>30</v>
      </c>
      <c r="I33" s="19">
        <v>10</v>
      </c>
    </row>
    <row r="34" spans="1:9" ht="84" hidden="1">
      <c r="A34" s="23" t="s">
        <v>179</v>
      </c>
      <c r="B34" s="21"/>
      <c r="C34" s="22" t="s">
        <v>33</v>
      </c>
      <c r="D34" s="21" t="s">
        <v>178</v>
      </c>
      <c r="E34" s="21">
        <v>1</v>
      </c>
      <c r="F34" s="21">
        <v>1.75</v>
      </c>
      <c r="G34" s="21" t="s">
        <v>177</v>
      </c>
      <c r="H34" s="20" t="s">
        <v>30</v>
      </c>
      <c r="I34" s="19"/>
    </row>
    <row r="35" spans="1:9" ht="84" hidden="1">
      <c r="A35" s="23" t="s">
        <v>176</v>
      </c>
      <c r="B35" s="21"/>
      <c r="C35" s="22" t="s">
        <v>33</v>
      </c>
      <c r="D35" s="21" t="s">
        <v>175</v>
      </c>
      <c r="E35" s="21">
        <v>1</v>
      </c>
      <c r="F35" s="22">
        <v>1.75</v>
      </c>
      <c r="G35" s="21" t="s">
        <v>174</v>
      </c>
      <c r="H35" s="20" t="s">
        <v>30</v>
      </c>
      <c r="I35" s="19"/>
    </row>
    <row r="36" spans="1:9" ht="84" hidden="1">
      <c r="A36" s="23" t="s">
        <v>173</v>
      </c>
      <c r="B36" s="21"/>
      <c r="C36" s="22" t="s">
        <v>33</v>
      </c>
      <c r="D36" s="21" t="s">
        <v>172</v>
      </c>
      <c r="E36" s="21">
        <v>1</v>
      </c>
      <c r="F36" s="22">
        <v>1.75</v>
      </c>
      <c r="G36" s="21" t="s">
        <v>171</v>
      </c>
      <c r="H36" s="20" t="s">
        <v>30</v>
      </c>
      <c r="I36" s="19"/>
    </row>
    <row r="37" spans="1:9" ht="84">
      <c r="A37" s="23" t="s">
        <v>170</v>
      </c>
      <c r="B37" s="21"/>
      <c r="C37" s="22" t="s">
        <v>33</v>
      </c>
      <c r="D37" s="21" t="s">
        <v>169</v>
      </c>
      <c r="E37" s="21">
        <v>1</v>
      </c>
      <c r="F37" s="22">
        <v>1.75</v>
      </c>
      <c r="G37" s="21" t="s">
        <v>168</v>
      </c>
      <c r="H37" s="20" t="s">
        <v>30</v>
      </c>
      <c r="I37" s="19">
        <v>10</v>
      </c>
    </row>
    <row r="38" spans="1:9" ht="84" hidden="1">
      <c r="A38" s="23" t="s">
        <v>167</v>
      </c>
      <c r="B38" s="21"/>
      <c r="C38" s="22" t="s">
        <v>33</v>
      </c>
      <c r="D38" s="21" t="s">
        <v>166</v>
      </c>
      <c r="E38" s="21">
        <v>1</v>
      </c>
      <c r="F38" s="21">
        <v>1.75</v>
      </c>
      <c r="G38" s="21" t="s">
        <v>165</v>
      </c>
      <c r="H38" s="20" t="s">
        <v>30</v>
      </c>
      <c r="I38" s="19"/>
    </row>
    <row r="39" spans="1:9" ht="84">
      <c r="A39" s="23" t="s">
        <v>164</v>
      </c>
      <c r="B39" s="21"/>
      <c r="C39" s="22" t="s">
        <v>33</v>
      </c>
      <c r="D39" s="21" t="s">
        <v>163</v>
      </c>
      <c r="E39" s="21">
        <v>1</v>
      </c>
      <c r="F39" s="22">
        <v>1.75</v>
      </c>
      <c r="G39" s="21" t="s">
        <v>162</v>
      </c>
      <c r="H39" s="20" t="s">
        <v>30</v>
      </c>
      <c r="I39" s="19">
        <v>10</v>
      </c>
    </row>
    <row r="40" spans="1:9" ht="84">
      <c r="A40" s="23" t="s">
        <v>161</v>
      </c>
      <c r="B40" s="21"/>
      <c r="C40" s="22" t="s">
        <v>33</v>
      </c>
      <c r="D40" s="21" t="s">
        <v>160</v>
      </c>
      <c r="E40" s="21">
        <v>1</v>
      </c>
      <c r="F40" s="22">
        <v>1.75</v>
      </c>
      <c r="G40" s="21" t="s">
        <v>159</v>
      </c>
      <c r="H40" s="20" t="s">
        <v>30</v>
      </c>
      <c r="I40" s="19">
        <v>30</v>
      </c>
    </row>
    <row r="41" spans="1:9" ht="84" hidden="1">
      <c r="A41" s="23" t="s">
        <v>158</v>
      </c>
      <c r="B41" s="21"/>
      <c r="C41" s="22" t="s">
        <v>33</v>
      </c>
      <c r="D41" s="21" t="s">
        <v>157</v>
      </c>
      <c r="E41" s="21">
        <v>1</v>
      </c>
      <c r="F41" s="22">
        <v>1.75</v>
      </c>
      <c r="G41" s="21" t="s">
        <v>156</v>
      </c>
      <c r="H41" s="20" t="s">
        <v>30</v>
      </c>
      <c r="I41" s="19"/>
    </row>
    <row r="42" spans="1:9" ht="84" hidden="1">
      <c r="A42" s="23" t="s">
        <v>155</v>
      </c>
      <c r="B42" s="22"/>
      <c r="C42" s="22" t="s">
        <v>33</v>
      </c>
      <c r="D42" s="22" t="s">
        <v>154</v>
      </c>
      <c r="E42" s="21">
        <v>1</v>
      </c>
      <c r="F42" s="21">
        <v>1.75</v>
      </c>
      <c r="G42" s="21" t="s">
        <v>153</v>
      </c>
      <c r="H42" s="20" t="s">
        <v>30</v>
      </c>
      <c r="I42" s="19"/>
    </row>
    <row r="43" spans="1:9" ht="84" hidden="1">
      <c r="A43" s="23" t="s">
        <v>152</v>
      </c>
      <c r="B43" s="22"/>
      <c r="C43" s="22" t="s">
        <v>33</v>
      </c>
      <c r="D43" s="22" t="s">
        <v>151</v>
      </c>
      <c r="E43" s="21">
        <v>1</v>
      </c>
      <c r="F43" s="22">
        <v>1.75</v>
      </c>
      <c r="G43" s="21" t="s">
        <v>150</v>
      </c>
      <c r="H43" s="27" t="s">
        <v>30</v>
      </c>
      <c r="I43" s="19"/>
    </row>
    <row r="44" spans="1:9" ht="84" hidden="1">
      <c r="A44" s="23" t="s">
        <v>149</v>
      </c>
      <c r="B44" s="22"/>
      <c r="C44" s="22" t="s">
        <v>33</v>
      </c>
      <c r="D44" s="22" t="s">
        <v>148</v>
      </c>
      <c r="E44" s="21">
        <v>1</v>
      </c>
      <c r="F44" s="22">
        <v>1.75</v>
      </c>
      <c r="G44" s="21" t="s">
        <v>147</v>
      </c>
      <c r="H44" s="27" t="s">
        <v>30</v>
      </c>
      <c r="I44" s="19"/>
    </row>
    <row r="45" spans="1:9" ht="84" hidden="1">
      <c r="A45" s="23" t="s">
        <v>146</v>
      </c>
      <c r="B45" s="22"/>
      <c r="C45" s="22" t="s">
        <v>33</v>
      </c>
      <c r="D45" s="22" t="s">
        <v>145</v>
      </c>
      <c r="E45" s="21">
        <v>1</v>
      </c>
      <c r="F45" s="22">
        <v>1.75</v>
      </c>
      <c r="G45" s="21" t="s">
        <v>144</v>
      </c>
      <c r="H45" s="27" t="s">
        <v>30</v>
      </c>
      <c r="I45" s="19"/>
    </row>
    <row r="46" spans="1:9" ht="84" hidden="1">
      <c r="A46" s="23" t="s">
        <v>143</v>
      </c>
      <c r="B46" s="22"/>
      <c r="C46" s="22" t="s">
        <v>33</v>
      </c>
      <c r="D46" s="22" t="s">
        <v>142</v>
      </c>
      <c r="E46" s="21">
        <v>1</v>
      </c>
      <c r="F46" s="21">
        <v>1.75</v>
      </c>
      <c r="G46" s="21" t="s">
        <v>141</v>
      </c>
      <c r="H46" s="27" t="s">
        <v>30</v>
      </c>
      <c r="I46" s="19"/>
    </row>
    <row r="47" spans="1:9" ht="84" hidden="1">
      <c r="A47" s="23" t="s">
        <v>140</v>
      </c>
      <c r="B47" s="22"/>
      <c r="C47" s="22" t="s">
        <v>33</v>
      </c>
      <c r="D47" s="22" t="s">
        <v>139</v>
      </c>
      <c r="E47" s="21">
        <v>1</v>
      </c>
      <c r="F47" s="22">
        <v>1.75</v>
      </c>
      <c r="G47" s="21" t="s">
        <v>138</v>
      </c>
      <c r="H47" s="27" t="s">
        <v>30</v>
      </c>
      <c r="I47" s="19"/>
    </row>
    <row r="48" spans="1:9" ht="84" hidden="1">
      <c r="A48" s="23" t="s">
        <v>137</v>
      </c>
      <c r="B48" s="22"/>
      <c r="C48" s="22" t="s">
        <v>33</v>
      </c>
      <c r="D48" s="22" t="s">
        <v>136</v>
      </c>
      <c r="E48" s="21">
        <v>1</v>
      </c>
      <c r="F48" s="22">
        <v>1.75</v>
      </c>
      <c r="G48" s="21" t="s">
        <v>135</v>
      </c>
      <c r="H48" s="27" t="s">
        <v>30</v>
      </c>
      <c r="I48" s="19"/>
    </row>
    <row r="49" spans="1:9" ht="105" hidden="1">
      <c r="A49" s="23" t="s">
        <v>134</v>
      </c>
      <c r="B49" s="22"/>
      <c r="C49" s="22" t="s">
        <v>33</v>
      </c>
      <c r="D49" s="22" t="s">
        <v>133</v>
      </c>
      <c r="E49" s="21">
        <v>1</v>
      </c>
      <c r="F49" s="22">
        <v>1.75</v>
      </c>
      <c r="G49" s="21" t="s">
        <v>132</v>
      </c>
      <c r="H49" s="27" t="s">
        <v>131</v>
      </c>
      <c r="I49" s="19"/>
    </row>
    <row r="50" spans="1:9" ht="84" hidden="1">
      <c r="A50" s="26" t="s">
        <v>130</v>
      </c>
      <c r="B50" s="25"/>
      <c r="C50" s="25" t="s">
        <v>33</v>
      </c>
      <c r="D50" s="25" t="s">
        <v>129</v>
      </c>
      <c r="E50" s="25">
        <v>1</v>
      </c>
      <c r="F50" s="25">
        <v>1.75</v>
      </c>
      <c r="G50" s="25" t="s">
        <v>128</v>
      </c>
      <c r="H50" s="24" t="s">
        <v>30</v>
      </c>
      <c r="I50" s="19"/>
    </row>
    <row r="51" spans="1:9" ht="84" hidden="1">
      <c r="A51" s="26" t="s">
        <v>127</v>
      </c>
      <c r="B51" s="25"/>
      <c r="C51" s="25" t="s">
        <v>33</v>
      </c>
      <c r="D51" s="25" t="s">
        <v>126</v>
      </c>
      <c r="E51" s="25">
        <v>1</v>
      </c>
      <c r="F51" s="25">
        <v>1.75</v>
      </c>
      <c r="G51" s="25" t="s">
        <v>125</v>
      </c>
      <c r="H51" s="24" t="s">
        <v>30</v>
      </c>
      <c r="I51" s="19"/>
    </row>
    <row r="52" spans="1:9" ht="84">
      <c r="A52" s="26" t="s">
        <v>124</v>
      </c>
      <c r="B52" s="25"/>
      <c r="C52" s="25" t="s">
        <v>33</v>
      </c>
      <c r="D52" s="25" t="s">
        <v>123</v>
      </c>
      <c r="E52" s="25">
        <v>1</v>
      </c>
      <c r="F52" s="25">
        <v>1.75</v>
      </c>
      <c r="G52" s="25" t="s">
        <v>122</v>
      </c>
      <c r="H52" s="24" t="s">
        <v>30</v>
      </c>
      <c r="I52" s="19">
        <v>20</v>
      </c>
    </row>
    <row r="53" spans="1:9" ht="84" hidden="1">
      <c r="A53" s="26" t="s">
        <v>121</v>
      </c>
      <c r="B53" s="25"/>
      <c r="C53" s="25" t="s">
        <v>33</v>
      </c>
      <c r="D53" s="25" t="s">
        <v>120</v>
      </c>
      <c r="E53" s="25">
        <v>1</v>
      </c>
      <c r="F53" s="25">
        <v>1.75</v>
      </c>
      <c r="G53" s="25" t="s">
        <v>119</v>
      </c>
      <c r="H53" s="24" t="s">
        <v>30</v>
      </c>
      <c r="I53" s="19"/>
    </row>
    <row r="54" spans="1:9" ht="84">
      <c r="A54" s="26" t="s">
        <v>118</v>
      </c>
      <c r="B54" s="25"/>
      <c r="C54" s="25" t="s">
        <v>33</v>
      </c>
      <c r="D54" s="25" t="s">
        <v>117</v>
      </c>
      <c r="E54" s="25">
        <v>1</v>
      </c>
      <c r="F54" s="25">
        <v>1.75</v>
      </c>
      <c r="G54" s="25" t="s">
        <v>116</v>
      </c>
      <c r="H54" s="24" t="s">
        <v>30</v>
      </c>
      <c r="I54" s="19">
        <v>10</v>
      </c>
    </row>
    <row r="55" spans="1:9" ht="84">
      <c r="A55" s="26" t="s">
        <v>115</v>
      </c>
      <c r="B55" s="25"/>
      <c r="C55" s="25" t="s">
        <v>33</v>
      </c>
      <c r="D55" s="25" t="s">
        <v>114</v>
      </c>
      <c r="E55" s="25">
        <v>1</v>
      </c>
      <c r="F55" s="25">
        <v>1.75</v>
      </c>
      <c r="G55" s="25" t="s">
        <v>113</v>
      </c>
      <c r="H55" s="24" t="s">
        <v>30</v>
      </c>
      <c r="I55" s="19">
        <v>10</v>
      </c>
    </row>
    <row r="56" spans="1:9" ht="84" hidden="1">
      <c r="A56" s="26" t="s">
        <v>112</v>
      </c>
      <c r="B56" s="25"/>
      <c r="C56" s="25" t="s">
        <v>33</v>
      </c>
      <c r="D56" s="25" t="s">
        <v>111</v>
      </c>
      <c r="E56" s="25">
        <v>1</v>
      </c>
      <c r="F56" s="25">
        <v>1.75</v>
      </c>
      <c r="G56" s="25" t="s">
        <v>110</v>
      </c>
      <c r="H56" s="24" t="s">
        <v>30</v>
      </c>
      <c r="I56" s="19"/>
    </row>
    <row r="57" spans="1:9" ht="84">
      <c r="A57" s="26" t="s">
        <v>109</v>
      </c>
      <c r="B57" s="25"/>
      <c r="C57" s="25" t="s">
        <v>33</v>
      </c>
      <c r="D57" s="25" t="s">
        <v>108</v>
      </c>
      <c r="E57" s="25">
        <v>1</v>
      </c>
      <c r="F57" s="25">
        <v>1.75</v>
      </c>
      <c r="G57" s="25" t="s">
        <v>107</v>
      </c>
      <c r="H57" s="24" t="s">
        <v>30</v>
      </c>
      <c r="I57" s="19">
        <v>10</v>
      </c>
    </row>
    <row r="58" spans="1:9" ht="84" hidden="1">
      <c r="A58" s="26" t="s">
        <v>106</v>
      </c>
      <c r="B58" s="25"/>
      <c r="C58" s="25" t="s">
        <v>33</v>
      </c>
      <c r="D58" s="25" t="s">
        <v>105</v>
      </c>
      <c r="E58" s="25">
        <v>1</v>
      </c>
      <c r="F58" s="25">
        <v>1.75</v>
      </c>
      <c r="G58" s="25" t="s">
        <v>104</v>
      </c>
      <c r="H58" s="24" t="s">
        <v>30</v>
      </c>
      <c r="I58" s="19"/>
    </row>
    <row r="59" spans="1:9" ht="84" hidden="1">
      <c r="A59" s="26" t="s">
        <v>103</v>
      </c>
      <c r="B59" s="25"/>
      <c r="C59" s="25" t="s">
        <v>33</v>
      </c>
      <c r="D59" s="25" t="s">
        <v>102</v>
      </c>
      <c r="E59" s="25">
        <v>1</v>
      </c>
      <c r="F59" s="25">
        <v>1.75</v>
      </c>
      <c r="G59" s="25" t="s">
        <v>101</v>
      </c>
      <c r="H59" s="24" t="s">
        <v>30</v>
      </c>
      <c r="I59" s="19"/>
    </row>
    <row r="60" spans="1:9" ht="84" hidden="1">
      <c r="A60" s="26" t="s">
        <v>100</v>
      </c>
      <c r="B60" s="25"/>
      <c r="C60" s="25" t="s">
        <v>33</v>
      </c>
      <c r="D60" s="25" t="s">
        <v>99</v>
      </c>
      <c r="E60" s="25">
        <v>1</v>
      </c>
      <c r="F60" s="25">
        <v>1.75</v>
      </c>
      <c r="G60" s="25" t="s">
        <v>98</v>
      </c>
      <c r="H60" s="24" t="s">
        <v>30</v>
      </c>
      <c r="I60" s="19"/>
    </row>
    <row r="61" spans="1:9" ht="84" hidden="1">
      <c r="A61" s="26" t="s">
        <v>97</v>
      </c>
      <c r="B61" s="25"/>
      <c r="C61" s="25" t="s">
        <v>33</v>
      </c>
      <c r="D61" s="25" t="s">
        <v>96</v>
      </c>
      <c r="E61" s="25">
        <v>1</v>
      </c>
      <c r="F61" s="25">
        <v>1.75</v>
      </c>
      <c r="G61" s="25" t="s">
        <v>95</v>
      </c>
      <c r="H61" s="24" t="s">
        <v>30</v>
      </c>
      <c r="I61" s="19"/>
    </row>
    <row r="62" spans="1:9" ht="84" hidden="1">
      <c r="A62" s="26" t="s">
        <v>94</v>
      </c>
      <c r="B62" s="25"/>
      <c r="C62" s="25" t="s">
        <v>33</v>
      </c>
      <c r="D62" s="25" t="s">
        <v>93</v>
      </c>
      <c r="E62" s="25">
        <v>1</v>
      </c>
      <c r="F62" s="25">
        <v>1.75</v>
      </c>
      <c r="G62" s="25" t="s">
        <v>92</v>
      </c>
      <c r="H62" s="24" t="s">
        <v>30</v>
      </c>
      <c r="I62" s="19"/>
    </row>
    <row r="63" spans="1:9" ht="84">
      <c r="A63" s="26" t="s">
        <v>91</v>
      </c>
      <c r="B63" s="25"/>
      <c r="C63" s="25" t="s">
        <v>33</v>
      </c>
      <c r="D63" s="25" t="s">
        <v>90</v>
      </c>
      <c r="E63" s="25">
        <v>1</v>
      </c>
      <c r="F63" s="25">
        <v>1.75</v>
      </c>
      <c r="G63" s="25" t="s">
        <v>89</v>
      </c>
      <c r="H63" s="24" t="s">
        <v>30</v>
      </c>
      <c r="I63" s="19">
        <v>10</v>
      </c>
    </row>
    <row r="64" spans="1:9" ht="84" hidden="1">
      <c r="A64" s="26" t="s">
        <v>88</v>
      </c>
      <c r="B64" s="25"/>
      <c r="C64" s="25" t="s">
        <v>33</v>
      </c>
      <c r="D64" s="25" t="s">
        <v>87</v>
      </c>
      <c r="E64" s="25">
        <v>1</v>
      </c>
      <c r="F64" s="25">
        <v>1.75</v>
      </c>
      <c r="G64" s="25" t="s">
        <v>86</v>
      </c>
      <c r="H64" s="24" t="s">
        <v>30</v>
      </c>
      <c r="I64" s="19"/>
    </row>
    <row r="65" spans="1:9" ht="84" hidden="1">
      <c r="A65" s="26" t="s">
        <v>85</v>
      </c>
      <c r="B65" s="25"/>
      <c r="C65" s="25" t="s">
        <v>33</v>
      </c>
      <c r="D65" s="25" t="s">
        <v>84</v>
      </c>
      <c r="E65" s="25">
        <v>1</v>
      </c>
      <c r="F65" s="25">
        <v>1.75</v>
      </c>
      <c r="G65" s="25" t="s">
        <v>83</v>
      </c>
      <c r="H65" s="24" t="s">
        <v>30</v>
      </c>
      <c r="I65" s="19"/>
    </row>
    <row r="66" spans="1:9" ht="84" hidden="1">
      <c r="A66" s="26" t="s">
        <v>82</v>
      </c>
      <c r="B66" s="25"/>
      <c r="C66" s="25" t="s">
        <v>33</v>
      </c>
      <c r="D66" s="25" t="s">
        <v>81</v>
      </c>
      <c r="E66" s="25">
        <v>1</v>
      </c>
      <c r="F66" s="25">
        <v>1.75</v>
      </c>
      <c r="G66" s="25" t="s">
        <v>80</v>
      </c>
      <c r="H66" s="24" t="s">
        <v>30</v>
      </c>
      <c r="I66" s="19"/>
    </row>
    <row r="67" spans="1:9" ht="84">
      <c r="A67" s="26" t="s">
        <v>79</v>
      </c>
      <c r="B67" s="25"/>
      <c r="C67" s="25" t="s">
        <v>33</v>
      </c>
      <c r="D67" s="25" t="s">
        <v>78</v>
      </c>
      <c r="E67" s="25">
        <v>1</v>
      </c>
      <c r="F67" s="25">
        <v>1.75</v>
      </c>
      <c r="G67" s="25" t="s">
        <v>77</v>
      </c>
      <c r="H67" s="24" t="s">
        <v>30</v>
      </c>
      <c r="I67" s="19">
        <v>10</v>
      </c>
    </row>
    <row r="68" spans="1:9" ht="84">
      <c r="A68" s="26" t="s">
        <v>76</v>
      </c>
      <c r="B68" s="25"/>
      <c r="C68" s="25" t="s">
        <v>33</v>
      </c>
      <c r="D68" s="25" t="s">
        <v>75</v>
      </c>
      <c r="E68" s="25">
        <v>1</v>
      </c>
      <c r="F68" s="25">
        <v>1.75</v>
      </c>
      <c r="G68" s="25" t="s">
        <v>74</v>
      </c>
      <c r="H68" s="24" t="s">
        <v>30</v>
      </c>
      <c r="I68" s="19">
        <v>10</v>
      </c>
    </row>
    <row r="69" spans="1:9" ht="84" hidden="1">
      <c r="A69" s="26" t="s">
        <v>73</v>
      </c>
      <c r="B69" s="25"/>
      <c r="C69" s="25" t="s">
        <v>33</v>
      </c>
      <c r="D69" s="25" t="s">
        <v>72</v>
      </c>
      <c r="E69" s="25">
        <v>1</v>
      </c>
      <c r="F69" s="25">
        <v>1.75</v>
      </c>
      <c r="G69" s="25" t="s">
        <v>71</v>
      </c>
      <c r="H69" s="24" t="s">
        <v>30</v>
      </c>
      <c r="I69" s="19"/>
    </row>
    <row r="70" spans="1:9" ht="84" hidden="1">
      <c r="A70" s="26" t="s">
        <v>70</v>
      </c>
      <c r="B70" s="25"/>
      <c r="C70" s="25" t="s">
        <v>33</v>
      </c>
      <c r="D70" s="25" t="s">
        <v>69</v>
      </c>
      <c r="E70" s="25">
        <v>1</v>
      </c>
      <c r="F70" s="25">
        <v>1.75</v>
      </c>
      <c r="G70" s="25" t="s">
        <v>68</v>
      </c>
      <c r="H70" s="24" t="s">
        <v>30</v>
      </c>
      <c r="I70" s="19"/>
    </row>
    <row r="71" spans="1:9" ht="84" hidden="1">
      <c r="A71" s="26" t="s">
        <v>67</v>
      </c>
      <c r="B71" s="25"/>
      <c r="C71" s="25" t="s">
        <v>33</v>
      </c>
      <c r="D71" s="25" t="s">
        <v>66</v>
      </c>
      <c r="E71" s="25">
        <v>1</v>
      </c>
      <c r="F71" s="25">
        <v>1.75</v>
      </c>
      <c r="G71" s="25" t="s">
        <v>65</v>
      </c>
      <c r="H71" s="24" t="s">
        <v>30</v>
      </c>
      <c r="I71" s="19"/>
    </row>
    <row r="72" spans="1:9" ht="84" hidden="1">
      <c r="A72" s="26" t="s">
        <v>64</v>
      </c>
      <c r="B72" s="25"/>
      <c r="C72" s="25" t="s">
        <v>33</v>
      </c>
      <c r="D72" s="25" t="s">
        <v>63</v>
      </c>
      <c r="E72" s="25">
        <v>1</v>
      </c>
      <c r="F72" s="25">
        <v>1.75</v>
      </c>
      <c r="G72" s="25" t="s">
        <v>62</v>
      </c>
      <c r="H72" s="24" t="s">
        <v>30</v>
      </c>
      <c r="I72" s="19"/>
    </row>
    <row r="73" spans="1:9" ht="84" hidden="1">
      <c r="A73" s="26" t="s">
        <v>61</v>
      </c>
      <c r="B73" s="25"/>
      <c r="C73" s="25" t="s">
        <v>33</v>
      </c>
      <c r="D73" s="25" t="s">
        <v>60</v>
      </c>
      <c r="E73" s="25">
        <v>1</v>
      </c>
      <c r="F73" s="25">
        <v>1.75</v>
      </c>
      <c r="G73" s="25" t="s">
        <v>59</v>
      </c>
      <c r="H73" s="24" t="s">
        <v>30</v>
      </c>
      <c r="I73" s="19"/>
    </row>
    <row r="74" spans="1:9" ht="84" hidden="1">
      <c r="A74" s="26" t="s">
        <v>58</v>
      </c>
      <c r="B74" s="25"/>
      <c r="C74" s="25" t="s">
        <v>33</v>
      </c>
      <c r="D74" s="25" t="s">
        <v>57</v>
      </c>
      <c r="E74" s="25">
        <v>1</v>
      </c>
      <c r="F74" s="25">
        <v>1.75</v>
      </c>
      <c r="G74" s="25" t="s">
        <v>56</v>
      </c>
      <c r="H74" s="24" t="s">
        <v>30</v>
      </c>
      <c r="I74" s="19"/>
    </row>
    <row r="75" spans="1:9" ht="84" hidden="1">
      <c r="A75" s="26" t="s">
        <v>55</v>
      </c>
      <c r="B75" s="25"/>
      <c r="C75" s="25" t="s">
        <v>33</v>
      </c>
      <c r="D75" s="25" t="s">
        <v>54</v>
      </c>
      <c r="E75" s="25">
        <v>1</v>
      </c>
      <c r="F75" s="25">
        <v>1.75</v>
      </c>
      <c r="G75" s="25" t="s">
        <v>53</v>
      </c>
      <c r="H75" s="24" t="s">
        <v>30</v>
      </c>
      <c r="I75" s="19"/>
    </row>
    <row r="76" spans="1:9" ht="84">
      <c r="A76" s="26" t="s">
        <v>52</v>
      </c>
      <c r="B76" s="25"/>
      <c r="C76" s="25" t="s">
        <v>33</v>
      </c>
      <c r="D76" s="25" t="s">
        <v>51</v>
      </c>
      <c r="E76" s="25">
        <v>1</v>
      </c>
      <c r="F76" s="25">
        <v>1.75</v>
      </c>
      <c r="G76" s="25" t="s">
        <v>50</v>
      </c>
      <c r="H76" s="24" t="s">
        <v>30</v>
      </c>
      <c r="I76" s="19">
        <v>10</v>
      </c>
    </row>
    <row r="77" spans="1:9" ht="84" hidden="1">
      <c r="A77" s="26" t="s">
        <v>49</v>
      </c>
      <c r="B77" s="25"/>
      <c r="C77" s="25" t="s">
        <v>33</v>
      </c>
      <c r="D77" s="25" t="s">
        <v>48</v>
      </c>
      <c r="E77" s="25">
        <v>1</v>
      </c>
      <c r="F77" s="25">
        <v>1.75</v>
      </c>
      <c r="G77" s="25" t="s">
        <v>47</v>
      </c>
      <c r="H77" s="24" t="s">
        <v>30</v>
      </c>
      <c r="I77" s="19"/>
    </row>
    <row r="78" spans="1:9" ht="84" hidden="1">
      <c r="A78" s="26" t="s">
        <v>46</v>
      </c>
      <c r="B78" s="25"/>
      <c r="C78" s="25" t="s">
        <v>33</v>
      </c>
      <c r="D78" s="25" t="s">
        <v>45</v>
      </c>
      <c r="E78" s="25">
        <v>1</v>
      </c>
      <c r="F78" s="25">
        <v>1.75</v>
      </c>
      <c r="G78" s="25" t="s">
        <v>44</v>
      </c>
      <c r="H78" s="24" t="s">
        <v>30</v>
      </c>
      <c r="I78" s="19"/>
    </row>
    <row r="79" spans="1:9" ht="84" hidden="1">
      <c r="A79" s="26" t="s">
        <v>43</v>
      </c>
      <c r="B79" s="25"/>
      <c r="C79" s="25" t="s">
        <v>33</v>
      </c>
      <c r="D79" s="25" t="s">
        <v>42</v>
      </c>
      <c r="E79" s="25">
        <v>1</v>
      </c>
      <c r="F79" s="25">
        <v>1.75</v>
      </c>
      <c r="G79" s="25" t="s">
        <v>41</v>
      </c>
      <c r="H79" s="24" t="s">
        <v>30</v>
      </c>
      <c r="I79" s="19"/>
    </row>
    <row r="80" spans="1:9" ht="84" hidden="1">
      <c r="A80" s="26" t="s">
        <v>40</v>
      </c>
      <c r="B80" s="25"/>
      <c r="C80" s="25" t="s">
        <v>33</v>
      </c>
      <c r="D80" s="25" t="s">
        <v>39</v>
      </c>
      <c r="E80" s="25">
        <v>1</v>
      </c>
      <c r="F80" s="25">
        <v>1.75</v>
      </c>
      <c r="G80" s="25" t="s">
        <v>38</v>
      </c>
      <c r="H80" s="24" t="s">
        <v>30</v>
      </c>
      <c r="I80" s="19"/>
    </row>
    <row r="81" spans="1:9" ht="84" hidden="1">
      <c r="A81" s="26" t="s">
        <v>37</v>
      </c>
      <c r="B81" s="25"/>
      <c r="C81" s="25" t="s">
        <v>33</v>
      </c>
      <c r="D81" s="25" t="s">
        <v>36</v>
      </c>
      <c r="E81" s="25">
        <v>1</v>
      </c>
      <c r="F81" s="25">
        <v>1.75</v>
      </c>
      <c r="G81" s="25" t="s">
        <v>35</v>
      </c>
      <c r="H81" s="24" t="s">
        <v>30</v>
      </c>
      <c r="I81" s="19"/>
    </row>
    <row r="82" spans="1:9" ht="84" hidden="1">
      <c r="A82" s="26" t="s">
        <v>34</v>
      </c>
      <c r="B82" s="25"/>
      <c r="C82" s="25" t="s">
        <v>33</v>
      </c>
      <c r="D82" s="25" t="s">
        <v>32</v>
      </c>
      <c r="E82" s="25">
        <v>1</v>
      </c>
      <c r="F82" s="25">
        <v>1.75</v>
      </c>
      <c r="G82" s="25" t="s">
        <v>31</v>
      </c>
      <c r="H82" s="24" t="s">
        <v>30</v>
      </c>
      <c r="I82" s="19"/>
    </row>
    <row r="83" spans="1:9" ht="21" hidden="1">
      <c r="A83" s="75" t="s">
        <v>29</v>
      </c>
      <c r="B83" s="76"/>
      <c r="C83" s="76"/>
      <c r="D83" s="76"/>
      <c r="E83" s="76"/>
      <c r="F83" s="76"/>
      <c r="G83" s="76"/>
      <c r="H83" s="76"/>
      <c r="I83" s="19"/>
    </row>
    <row r="84" spans="1:9" ht="84">
      <c r="A84" s="23" t="s">
        <v>28</v>
      </c>
      <c r="B84" s="21"/>
      <c r="C84" s="22" t="s">
        <v>27</v>
      </c>
      <c r="D84" s="21" t="s">
        <v>26</v>
      </c>
      <c r="E84" s="21">
        <v>1</v>
      </c>
      <c r="F84" s="21">
        <v>1.75</v>
      </c>
      <c r="G84" s="21" t="s">
        <v>25</v>
      </c>
      <c r="H84" s="20" t="s">
        <v>24</v>
      </c>
      <c r="I84" s="19">
        <v>10</v>
      </c>
    </row>
    <row r="87" spans="1:9">
      <c r="I87" s="18">
        <f>SUM(I1:I84)</f>
        <v>1170</v>
      </c>
    </row>
  </sheetData>
  <autoFilter ref="I1:I84" xr:uid="{5C7F013E-A43E-44B6-ADB3-731C58503445}">
    <filterColumn colId="0">
      <customFilters>
        <customFilter operator="notEqual" val=" "/>
      </customFilters>
    </filterColumn>
  </autoFilter>
  <mergeCells count="2">
    <mergeCell ref="A30:H30"/>
    <mergeCell ref="A83:H8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Table 2</vt:lpstr>
      <vt:lpstr>Sheet1</vt:lpstr>
      <vt:lpstr>'Table 2'!Print_Area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xtraReport1</dc:title>
  <dc:subject/>
  <dc:creator>admin</dc:creator>
  <cp:keywords/>
  <dc:description/>
  <cp:lastModifiedBy>RahmanMd Abidur</cp:lastModifiedBy>
  <cp:revision/>
  <dcterms:created xsi:type="dcterms:W3CDTF">2024-04-21T17:12:38Z</dcterms:created>
  <dcterms:modified xsi:type="dcterms:W3CDTF">2026-05-06T11:21:49Z</dcterms:modified>
  <cp:category/>
  <cp:contentStatus/>
</cp:coreProperties>
</file>